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Paramètres" sheetId="2" state="visible" r:id="rId4"/>
    <sheet name="Mots-clés" sheetId="3" state="visible" r:id="rId5"/>
    <sheet name="Rentabilité" sheetId="4" state="visible" r:id="rId6"/>
    <sheet name="Scénarios" sheetId="5" state="visible" r:id="rId7"/>
    <sheet name="Concurrence relevée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<sst xmlns="http://schemas.openxmlformats.org/spreadsheetml/2006/main" count="422" uniqueCount="271">
  <si>
    <t xml:space="preserve">Tableur de rentabilité – Phase 1 (Google Shopping, France)</t>
  </si>
  <si>
    <t xml:space="preserve">Créé le 12/10/2026. Toutes les cellules calculées sont des formules : change une entrée, tout se recalcule.</t>
  </si>
  <si>
    <t xml:space="preserve">CODE COULEUR</t>
  </si>
  <si>
    <t xml:space="preserve">Texte bleu = valeur saisie (hypothèse ou donnée relevée). Texte noir = formule. Texte vert = lien vers un autre onglet.</t>
  </si>
  <si>
    <t xml:space="preserve">Fond jaune = cellule que TU dois remplir ou vérifier (données Keyword Planner, prix fournisseurs).</t>
  </si>
  <si>
    <t xml:space="preserve">ORDRE CONSEILLÉ</t>
  </si>
  <si>
    <t xml:space="preserve">1. Onglet « Paramètres » : vérifie TVA, frais Shopify, budget, CPC plafond (chaque valeur a sa source en colonne C).</t>
  </si>
  <si>
    <t xml:space="preserve">2. Onglet « Mots-clés » : recopie depuis le Planificateur de mots-clés le volume et les enchères basse/haute de chaque mot-clé.</t>
  </si>
  <si>
    <t xml:space="preserve">3. Onglet « Rentabilité » : saisis le coût produit et la livraison (HT) relevés chez le fournisseur. Le verdict se met à jour.</t>
  </si>
  <si>
    <t xml:space="preserve">4. Onglet « Scénarios » : marge par vente et CPC moyen → résultat du mois à 1 %, 1,5 % et 2,5 % de conversion.</t>
  </si>
  <si>
    <t xml:space="preserve">CE QUI EST RÉEL / CE QUI EST HYPOTHÈSE</t>
  </si>
  <si>
    <t xml:space="preserve">Réel (relevé le 12/10/2026, source dans l'onglet « Sources ») : prix concurrents Zooplus, CPC médian Shopping Europe (Smec), règles douane UE.</t>
  </si>
  <si>
    <t xml:space="preserve">Hypothèse (donnée par toi ou estimation) : prix de vente cibles, marge cible, CPC plafond, provision retours, frais fixes.</t>
  </si>
  <si>
    <t xml:space="preserve">NON DISPONIBLE à ce jour : volumes et enchères Google (Keyword Planner), Google Trends, coûts fournisseurs. Cellules jaunes vides.</t>
  </si>
  <si>
    <t xml:space="preserve">Ceci n'est pas un avis fiscal : le taux de TVA (21 % BE ou 20 % FR / OSS) est à valider avec ton comptable.</t>
  </si>
  <si>
    <t xml:space="preserve">Paramètres (modifie les valeurs bleues)</t>
  </si>
  <si>
    <t xml:space="preserve">Paramètre</t>
  </si>
  <si>
    <t xml:space="preserve">Valeur</t>
  </si>
  <si>
    <t xml:space="preserve">Source / statut</t>
  </si>
  <si>
    <t xml:space="preserve">Taux de TVA appliqué au prix de vente</t>
  </si>
  <si>
    <t xml:space="preserve">Donné par toi : TVA belge 21 % sous 10 000 €/an de ventes UE à distance ; sinon 20 % FR via OSS. À VALIDER avec ton comptable.</t>
  </si>
  <si>
    <t xml:space="preserve">Frais Shopify Payments (% du prix TTC)</t>
  </si>
  <si>
    <t xml:space="preserve">Donné par toi ; cohérent avec getkanal.com (page tarifs Shopify FR relevée le 07/10/2026). Cartes Amex/hors UE : 2,7 %.</t>
  </si>
  <si>
    <t xml:space="preserve">Frais Shopify Payments fixes (€ / transaction)</t>
  </si>
  <si>
    <t xml:space="preserve">Idem ligne 5.</t>
  </si>
  <si>
    <t xml:space="preserve">Budget publicitaire mensuel (€)</t>
  </si>
  <si>
    <t xml:space="preserve">Donné par toi.</t>
  </si>
  <si>
    <t xml:space="preserve">CPC plafond de départ (€)</t>
  </si>
  <si>
    <t xml:space="preserve">Donné par toi (0,60–0,70 €). Pour info : CPC médian Shopping Europe = 0,36 € (smarter-ecommerce.com, page mise à jour le 12/10/2026, toutes catégories).</t>
  </si>
  <si>
    <t xml:space="preserve">Seuil d'élimination : enchère haute moyenne (€)</t>
  </si>
  <si>
    <t xml:space="preserve">Marge brute cible – haute (€ / vente)</t>
  </si>
  <si>
    <t xml:space="preserve">Donné par toi (35–40 €).</t>
  </si>
  <si>
    <t xml:space="preserve">Marge brute cible – basse (€ / vente)</t>
  </si>
  <si>
    <t xml:space="preserve">Droit de douane forfaitaire hors UE (€ / catégorie d'article)</t>
  </si>
  <si>
    <t xml:space="preserve">En vigueur depuis le 01/07/2026, colis ≤ 150 €, jusqu'au 01/07/2028 (info.gouv.fr). Ne s'applique PAS si expédié depuis l'UE.</t>
  </si>
  <si>
    <t xml:space="preserve">Redevance UE de gestion hors UE (€ / article)</t>
  </si>
  <si>
    <t xml:space="preserve">Prévue au 01/11/2026 ; montant de 2 € cité par plusieurs sources mais NON confirmé officiellement au 12/10/2026. Hors UE uniquement.</t>
  </si>
  <si>
    <t xml:space="preserve">Provision retours / litiges (% du CA TTC)</t>
  </si>
  <si>
    <t xml:space="preserve">ESTIMATION (aucune donnée réelle). À ajuster après les premières ventes.</t>
  </si>
  <si>
    <t xml:space="preserve">Abonnement Shopify Basic (€ / mois)</t>
  </si>
  <si>
    <t xml:space="preserve">speed-ecom.eu (tarifs vérifiés le 26/08/2026). À confirmer sur shopify.com/fr/tarifs.</t>
  </si>
  <si>
    <t xml:space="preserve">Autres frais fixes (domaine, email, apps, abonnement fournisseur) (€ / mois)</t>
  </si>
  <si>
    <t xml:space="preserve">ESTIMATION. Ex. : dropshippingXL ≈ 30 €/mois selon un avis tiers (ecommerce-platforms.com), non vérifié.</t>
  </si>
  <si>
    <t xml:space="preserve">Nombre moyen de jours par mois</t>
  </si>
  <si>
    <t xml:space="preserve">Convention.</t>
  </si>
  <si>
    <t xml:space="preserve">Budget publicitaire par jour (€)</t>
  </si>
  <si>
    <t xml:space="preserve">Calcul.</t>
  </si>
  <si>
    <t xml:space="preserve">Clics par mois au CPC plafond</t>
  </si>
  <si>
    <t xml:space="preserve">Calcul : budget ÷ CPC plafond (au CPC réel, souvent plus bas, tu auras plus de clics).</t>
  </si>
  <si>
    <t xml:space="preserve">Mots-clés à tester dans le Planificateur (France, français, 12 derniers mois)</t>
  </si>
  <si>
    <t xml:space="preserve">Les mots-clés sont des PROPOSITIONS. Les colonnes jaunes sont vides : recopie les chiffres du Planificateur (ne pas inventer).</t>
  </si>
  <si>
    <t xml:space="preserve">Candidat</t>
  </si>
  <si>
    <t xml:space="preserve">Mot-clé</t>
  </si>
  <si>
    <t xml:space="preserve">Volume mensuel moyen</t>
  </si>
  <si>
    <t xml:space="preserve">Enchère basse haut de page (€)</t>
  </si>
  <si>
    <t xml:space="preserve">Enchère haute haut de page (€)</t>
  </si>
  <si>
    <t xml:space="preserve">Concurrence (Faible/Moyenne/Élevée)</t>
  </si>
  <si>
    <t xml:space="preserve">Statut vs seuil</t>
  </si>
  <si>
    <t xml:space="preserve">Note</t>
  </si>
  <si>
    <t xml:space="preserve">Lit orthopédique chien L/XL</t>
  </si>
  <si>
    <t xml:space="preserve">lit orthopédique chien</t>
  </si>
  <si>
    <t xml:space="preserve">lit orthopédique grand chien</t>
  </si>
  <si>
    <t xml:space="preserve">panier orthopédique chien</t>
  </si>
  <si>
    <t xml:space="preserve">lit mémoire de forme chien</t>
  </si>
  <si>
    <t xml:space="preserve">matelas orthopédique chien</t>
  </si>
  <si>
    <t xml:space="preserve">lit chien xl</t>
  </si>
  <si>
    <t xml:space="preserve">panier chien xxl</t>
  </si>
  <si>
    <t xml:space="preserve">lit pour chien âgé</t>
  </si>
  <si>
    <t xml:space="preserve">lit chien arthrose</t>
  </si>
  <si>
    <t xml:space="preserve">coussin orthopédique chien</t>
  </si>
  <si>
    <t xml:space="preserve">lit chien grande taille</t>
  </si>
  <si>
    <t xml:space="preserve">panier grand chien</t>
  </si>
  <si>
    <t xml:space="preserve">lit chien déhoussable</t>
  </si>
  <si>
    <t xml:space="preserve">matelas mémoire de forme chien xl</t>
  </si>
  <si>
    <t xml:space="preserve">lit chien dysplasie</t>
  </si>
  <si>
    <t xml:space="preserve">Couverture lestée adulte</t>
  </si>
  <si>
    <t xml:space="preserve">couverture lestée</t>
  </si>
  <si>
    <t xml:space="preserve">couverture lestée adulte</t>
  </si>
  <si>
    <t xml:space="preserve">couverture lestée 7 kg</t>
  </si>
  <si>
    <t xml:space="preserve">couverture lestée 9 kg</t>
  </si>
  <si>
    <t xml:space="preserve">couverture pondérée</t>
  </si>
  <si>
    <t xml:space="preserve">couverture lestée 150x200</t>
  </si>
  <si>
    <t xml:space="preserve">couverture lestée sommeil</t>
  </si>
  <si>
    <t xml:space="preserve">couverture lestée bambou</t>
  </si>
  <si>
    <t xml:space="preserve">couverture lourde</t>
  </si>
  <si>
    <t xml:space="preserve">plaid lesté</t>
  </si>
  <si>
    <t xml:space="preserve">couverture lestée double</t>
  </si>
  <si>
    <t xml:space="preserve">couverture lestée pas cher</t>
  </si>
  <si>
    <t xml:space="preserve">Rampe / escalier chien</t>
  </si>
  <si>
    <t xml:space="preserve">rampe chien</t>
  </si>
  <si>
    <t xml:space="preserve">rampe pour chien voiture</t>
  </si>
  <si>
    <t xml:space="preserve">escalier chien</t>
  </si>
  <si>
    <t xml:space="preserve">escalier pour chien lit</t>
  </si>
  <si>
    <t xml:space="preserve">rampe chien canapé</t>
  </si>
  <si>
    <t xml:space="preserve">rampe chien pliable</t>
  </si>
  <si>
    <t xml:space="preserve">rampe chien coffre</t>
  </si>
  <si>
    <t xml:space="preserve">rampe chien télescopique</t>
  </si>
  <si>
    <t xml:space="preserve">escalier pour chien âgé</t>
  </si>
  <si>
    <t xml:space="preserve">escalier chien canapé</t>
  </si>
  <si>
    <t xml:space="preserve">marche pied chien</t>
  </si>
  <si>
    <t xml:space="preserve">rampe d'accès chien</t>
  </si>
  <si>
    <t xml:space="preserve">Réhausseur bureau assis-debout manuel</t>
  </si>
  <si>
    <t xml:space="preserve">réhausseur bureau assis debout</t>
  </si>
  <si>
    <t xml:space="preserve">convertisseur bureau assis debout</t>
  </si>
  <si>
    <t xml:space="preserve">bureau assis debout manuel</t>
  </si>
  <si>
    <t xml:space="preserve">support ordinateur assis debout</t>
  </si>
  <si>
    <t xml:space="preserve">bureau debout à poser</t>
  </si>
  <si>
    <t xml:space="preserve">station assis debout</t>
  </si>
  <si>
    <t xml:space="preserve">réhausseur bureau réglable</t>
  </si>
  <si>
    <t xml:space="preserve">bureau assis debout télétravail</t>
  </si>
  <si>
    <t xml:space="preserve">plan de travail assis debout</t>
  </si>
  <si>
    <t xml:space="preserve">réhausseur écran bureau debout</t>
  </si>
  <si>
    <t xml:space="preserve">standing desk converter</t>
  </si>
  <si>
    <t xml:space="preserve">Arbre à chat XXL</t>
  </si>
  <si>
    <t xml:space="preserve">arbre à chat xxl</t>
  </si>
  <si>
    <t xml:space="preserve">grand arbre à chat</t>
  </si>
  <si>
    <t xml:space="preserve">arbre à chat maine coon</t>
  </si>
  <si>
    <t xml:space="preserve">arbre à chat plafond</t>
  </si>
  <si>
    <t xml:space="preserve">arbre à chat grand chat</t>
  </si>
  <si>
    <t xml:space="preserve">arbre à chat solide</t>
  </si>
  <si>
    <t xml:space="preserve">arbre à chat robuste</t>
  </si>
  <si>
    <t xml:space="preserve">arbre à chat 2 mètres</t>
  </si>
  <si>
    <t xml:space="preserve">arbre à chat gros chat</t>
  </si>
  <si>
    <t xml:space="preserve">arbre à chat bois massif</t>
  </si>
  <si>
    <t xml:space="preserve">arbre à chat xxl pas cher</t>
  </si>
  <si>
    <t xml:space="preserve">Banc de musculation pliable</t>
  </si>
  <si>
    <t xml:space="preserve">banc de musculation</t>
  </si>
  <si>
    <t xml:space="preserve">banc de musculation pliable</t>
  </si>
  <si>
    <t xml:space="preserve">banc musculation réglable</t>
  </si>
  <si>
    <t xml:space="preserve">banc incliné musculation</t>
  </si>
  <si>
    <t xml:space="preserve">banc de musculation maison</t>
  </si>
  <si>
    <t xml:space="preserve">banc développé couché</t>
  </si>
  <si>
    <t xml:space="preserve">banc musculation inclinable</t>
  </si>
  <si>
    <t xml:space="preserve">banc fitness pliable</t>
  </si>
  <si>
    <t xml:space="preserve">banc abdominaux</t>
  </si>
  <si>
    <t xml:space="preserve">banc musculation pas cher</t>
  </si>
  <si>
    <t xml:space="preserve">Haltères réglables</t>
  </si>
  <si>
    <t xml:space="preserve">haltères réglables</t>
  </si>
  <si>
    <t xml:space="preserve">haltère réglable 24 kg</t>
  </si>
  <si>
    <t xml:space="preserve">haltères réglables 20 kg</t>
  </si>
  <si>
    <t xml:space="preserve">haltères ajustables</t>
  </si>
  <si>
    <t xml:space="preserve">haltère réglable rapide</t>
  </si>
  <si>
    <t xml:space="preserve">haltères 40 kg</t>
  </si>
  <si>
    <t xml:space="preserve">kit haltères</t>
  </si>
  <si>
    <t xml:space="preserve">haltère sélecteur</t>
  </si>
  <si>
    <t xml:space="preserve">haltères musculation maison</t>
  </si>
  <si>
    <t xml:space="preserve">haltères réglables pas cher</t>
  </si>
  <si>
    <t xml:space="preserve">Chariot de courses premium</t>
  </si>
  <si>
    <t xml:space="preserve">chariot de courses</t>
  </si>
  <si>
    <t xml:space="preserve">chariot de courses 6 roues</t>
  </si>
  <si>
    <t xml:space="preserve">chariot de marché</t>
  </si>
  <si>
    <t xml:space="preserve">chariot courses escalier</t>
  </si>
  <si>
    <t xml:space="preserve">poussette de marché</t>
  </si>
  <si>
    <t xml:space="preserve">chariot de courses pliable</t>
  </si>
  <si>
    <t xml:space="preserve">cabas à roulettes</t>
  </si>
  <si>
    <t xml:space="preserve">chariot courses isotherme</t>
  </si>
  <si>
    <t xml:space="preserve">chariot de course 2 roues</t>
  </si>
  <si>
    <t xml:space="preserve">chariot courses senior</t>
  </si>
  <si>
    <t xml:space="preserve">Note : le Planificateur affiche des fourchettes (ex. « 1 k – 10 k ») tant que le compte n'a jamais dépensé. Saisis alors le milieu de fourchette et écris « fourchette » en colonne Note.</t>
  </si>
  <si>
    <t xml:space="preserve">Rentabilité par candidat (1 vente = 1 article)</t>
  </si>
  <si>
    <t xml:space="preserve">Colonnes B–F : entrées. Colonnes G–H : tirées de l'onglet Mots-clés. Le reste : formules. Coûts fournisseurs en HT si tu récupères la TVA, sinon en TTC (voir comptable).</t>
  </si>
  <si>
    <t xml:space="preserve">Prix de vente TTC (€)</t>
  </si>
  <si>
    <t xml:space="preserve">Coût produit (€)</t>
  </si>
  <si>
    <t xml:space="preserve">Livraison au client (€)</t>
  </si>
  <si>
    <t xml:space="preserve">Expédié hors UE ? (OUI/NON)</t>
  </si>
  <si>
    <t xml:space="preserve">Nb catégories d'articles / colis</t>
  </si>
  <si>
    <t xml:space="preserve">Enchère haute moyenne (€)</t>
  </si>
  <si>
    <t xml:space="preserve">Volume mensuel cumulé</t>
  </si>
  <si>
    <t xml:space="preserve">Prix HT (€)</t>
  </si>
  <si>
    <t xml:space="preserve">Frais Shopify (€)</t>
  </si>
  <si>
    <t xml:space="preserve">Douane + redevance (€)</t>
  </si>
  <si>
    <t xml:space="preserve">Marge brute / vente (€)</t>
  </si>
  <si>
    <t xml:space="preserve">Achat max produit+livraison pour 40 € de marge</t>
  </si>
  <si>
    <t xml:space="preserve">Achat max pour 35 € de marge</t>
  </si>
  <si>
    <t xml:space="preserve">CPA maximal (€)</t>
  </si>
  <si>
    <t xml:space="preserve">Ventes/mois pour couvrir 200 €</t>
  </si>
  <si>
    <t xml:space="preserve">Taux de conversion d'équilibre</t>
  </si>
  <si>
    <t xml:space="preserve">Marge après provision retours (€)</t>
  </si>
  <si>
    <t xml:space="preserve">Verdict</t>
  </si>
  <si>
    <t xml:space="preserve">NON</t>
  </si>
  <si>
    <t xml:space="preserve">EXEMPLE FICTIF – format attendu (à supprimer)</t>
  </si>
  <si>
    <t xml:space="preserve">Prix de vente TTC = hypothèses (milieu des fourchettes de ta pré-analyse), à ajuster selon les prix concurrents relevés.</t>
  </si>
  <si>
    <t xml:space="preserve">« Achat max » = ce que tu peux payer au fournisseur (produit + livraison) en gardant la marge cible : c'est le chiffre à comparer aux devis fournisseurs.</t>
  </si>
  <si>
    <t xml:space="preserve">CPA maximal = marge brute : au-delà, chaque vente obtenue par la pub te coûte plus qu'elle ne rapporte.</t>
  </si>
  <si>
    <t xml:space="preserve">Scénarios sur 1 mois de pub (200 €)</t>
  </si>
  <si>
    <t xml:space="preserve">Par défaut : marge = 40 € (ta cible) et CPC moyen = 0,65 € (ton plafond). Remplace par les vrais chiffres dès que tu les as.</t>
  </si>
  <si>
    <t xml:space="preserve">Marge brute par vente (€)</t>
  </si>
  <si>
    <t xml:space="preserve">Lien Paramètres (cible). Remplace par la marge réelle de l'onglet Rentabilité.</t>
  </si>
  <si>
    <t xml:space="preserve">CPC moyen réellement payé (€)</t>
  </si>
  <si>
    <t xml:space="preserve">Lien Paramètres (plafond). Le CPC réel est souvent plus bas que le plafond.</t>
  </si>
  <si>
    <t xml:space="preserve">Hypothèse.</t>
  </si>
  <si>
    <t xml:space="preserve">Budget du mois (€)</t>
  </si>
  <si>
    <t xml:space="preserve">Lien Paramètres.</t>
  </si>
  <si>
    <t xml:space="preserve">Calcul : CPC ÷ marge. En dessous, la pub perd de l'argent.</t>
  </si>
  <si>
    <t xml:space="preserve">Indicateur</t>
  </si>
  <si>
    <t xml:space="preserve">Pessimiste</t>
  </si>
  <si>
    <t xml:space="preserve">Médian</t>
  </si>
  <si>
    <t xml:space="preserve">Optimiste</t>
  </si>
  <si>
    <t xml:space="preserve">Taux de conversion (visites → commande)</t>
  </si>
  <si>
    <t xml:space="preserve">Clics achetés dans le mois</t>
  </si>
  <si>
    <t xml:space="preserve">Ventes attendues</t>
  </si>
  <si>
    <t xml:space="preserve">Chiffre d'affaires TTC (€)</t>
  </si>
  <si>
    <t xml:space="preserve">Marge brute totale (€)</t>
  </si>
  <si>
    <t xml:space="preserve">Résultat après pub (€)</t>
  </si>
  <si>
    <t xml:space="preserve">Résultat après pub et frais fixes (€)</t>
  </si>
  <si>
    <t xml:space="preserve">Coût par vente – CPA (€)</t>
  </si>
  <si>
    <t xml:space="preserve">ROAS (CA TTC ÷ pub)</t>
  </si>
  <si>
    <t xml:space="preserve">Clics nécessaires pour 1 vente en moyenne</t>
  </si>
  <si>
    <t xml:space="preserve">Probabilité de 0 vente sur 100 clics</t>
  </si>
  <si>
    <t xml:space="preserve">Ligne 21 : même un bon produit peut faire 0 vente sur 100 clics par malchance. La règle d'arrêt à 100 clics est un compromis budget / certitude.</t>
  </si>
  <si>
    <t xml:space="preserve">Sensibilité : résultat après pub (€) selon CPC moyen et taux de conversion, marge = cellule B4</t>
  </si>
  <si>
    <t xml:space="preserve">CPC moyen ↓ / Conversion →</t>
  </si>
  <si>
    <t xml:space="preserve">0,36 € = CPC médian Shopping Europe toutes catégories (smarter-ecommerce.com, 12/10/2026) : repère, pas une donnée de ta niche.</t>
  </si>
  <si>
    <t xml:space="preserve">Prix concurrents relevés (zooplus.fr, recherche interne, 12/10/2026)</t>
  </si>
  <si>
    <t xml:space="preserve">Prix affiché sur la liste de résultats = souvent la PLUS PETITE taille du produit. Vérifier la taille L/XL sur la fiche avant conclusion. Google Shopping, Amazon, Decathlon : non consultables depuis cet environnement (blocage).</t>
  </si>
  <si>
    <t xml:space="preserve">Niche</t>
  </si>
  <si>
    <t xml:space="preserve">Enseigne</t>
  </si>
  <si>
    <t xml:space="preserve">Produit</t>
  </si>
  <si>
    <t xml:space="preserve">Prix affiché (€)</t>
  </si>
  <si>
    <t xml:space="preserve">Nb d'avis</t>
  </si>
  <si>
    <t xml:space="preserve">&lt; 60 € ?</t>
  </si>
  <si>
    <t xml:space="preserve">Requête</t>
  </si>
  <si>
    <t xml:space="preserve">Lit orthopédique chien</t>
  </si>
  <si>
    <t xml:space="preserve">Zooplus</t>
  </si>
  <si>
    <t xml:space="preserve">Canapé orthopédique gris pour chien</t>
  </si>
  <si>
    <t xml:space="preserve">lit orthopédique</t>
  </si>
  <si>
    <t xml:space="preserve">Coussin orthopédique Pawz &amp; Pepper Colorado</t>
  </si>
  <si>
    <t xml:space="preserve">Matelas à mémoire de forme TIAKI</t>
  </si>
  <si>
    <t xml:space="preserve">Panier ovale Memory, gris</t>
  </si>
  <si>
    <t xml:space="preserve">Petlando LikeOrtho Luke</t>
  </si>
  <si>
    <t xml:space="preserve">Coussin Memory, gris</t>
  </si>
  <si>
    <t xml:space="preserve">Ferplast Memor-One</t>
  </si>
  <si>
    <t xml:space="preserve">Panier ovale Memory, gris (grande taille)</t>
  </si>
  <si>
    <t xml:space="preserve">zooplus Basics Escalier Stepway</t>
  </si>
  <si>
    <t xml:space="preserve">Rampe TIAKI Up&amp;Down</t>
  </si>
  <si>
    <t xml:space="preserve">Rampe Backstage pour chien</t>
  </si>
  <si>
    <t xml:space="preserve">Trixie Rampe pliante, noir</t>
  </si>
  <si>
    <t xml:space="preserve">Trixie Rampe télescopique Petwalk</t>
  </si>
  <si>
    <t xml:space="preserve">Zooplus (marketplace)</t>
  </si>
  <si>
    <t xml:space="preserve">PawHut Arbre à chat XXL réglable H.225-255 cm</t>
  </si>
  <si>
    <t xml:space="preserve">PawHut Arbre à chat XXL H.192 cm</t>
  </si>
  <si>
    <t xml:space="preserve">Feandrea Arbre à Chat 201 cm</t>
  </si>
  <si>
    <t xml:space="preserve">Arbre à chat Atlas</t>
  </si>
  <si>
    <t xml:space="preserve">Sources (consultées le 12/10/2026)</t>
  </si>
  <si>
    <t xml:space="preserve">Donnée</t>
  </si>
  <si>
    <t xml:space="preserve">URL</t>
  </si>
  <si>
    <t xml:space="preserve">Remarque</t>
  </si>
  <si>
    <t xml:space="preserve">Prix Zooplus</t>
  </si>
  <si>
    <t xml:space="preserve">https://www.zooplus.fr/search/results?q=lit%20orthop%C3%A9dique (idem « rampe chien », « arbre à chat xxl »)</t>
  </si>
  <si>
    <t xml:space="preserve">Relevé direct</t>
  </si>
  <si>
    <t xml:space="preserve">CPC médian Shopping Europe 0,36 €</t>
  </si>
  <si>
    <t xml:space="preserve">https://smarter-ecommerce.com/en/smec-market-observer/metrics/cpc</t>
  </si>
  <si>
    <t xml:space="preserve">Page mise à jour le 12/10/2026, toutes catégories, pas de détail France</t>
  </si>
  <si>
    <t xml:space="preserve">Taux de conversion Shopping 3,03 % (marché, en baisse de 30 % sur un an)</t>
  </si>
  <si>
    <t xml:space="preserve">https://smarter-ecommerce.com/en/smec-market-observer/monthly-market-pulse/july-2026</t>
  </si>
  <si>
    <t xml:space="preserve">Via recherche web ; annonceurs établis, pas une boutique neuve</t>
  </si>
  <si>
    <t xml:space="preserve">Droit de douane 3 € / catégorie (01/07/2026–01/07/2028)</t>
  </si>
  <si>
    <t xml:space="preserve">https://www.info.gouv.fr/actualite/taxe-sur-les-petits-colis-ce-qui-change</t>
  </si>
  <si>
    <t xml:space="preserve">Officiel FR</t>
  </si>
  <si>
    <t xml:space="preserve">Redevance UE 2 € / article au 01/11/2026</t>
  </si>
  <si>
    <t xml:space="preserve">https://nshift.com/blog/eu-customs-changes-ecommerce-2026 ; https://www.cleolabs.co/en/blog/eu-customs-second-parcel-fee-2026</t>
  </si>
  <si>
    <t xml:space="preserve">Sources divergentes : montant non confirmé officiellement</t>
  </si>
  <si>
    <t xml:space="preserve">Shopify Payments FR 1,5 % + 0,25 €</t>
  </si>
  <si>
    <t xml:space="preserve">https://getkanal.com/fr/blog/shopify-payments-frais</t>
  </si>
  <si>
    <t xml:space="preserve">Cite la page tarifs Shopify FR du 07/10/2026</t>
  </si>
  <si>
    <t xml:space="preserve">Shopify Basic 36 €/mois</t>
  </si>
  <si>
    <t xml:space="preserve">https://speed-ecom.eu/shopify-quel-forfait-choisir-pour-son-site-e-commerce/</t>
  </si>
  <si>
    <t xml:space="preserve">Vérifié par la source le 26/08/2026</t>
  </si>
  <si>
    <t xml:space="preserve">dropshippingXL ≈ 30 €/mois</t>
  </si>
  <si>
    <t xml:space="preserve">https://ecommerce-platforms.com/fr/articles/dropshippingxl-by-vidaxl-review</t>
  </si>
  <si>
    <t xml:space="preserve">Avis tiers, non vérifié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</si>
</sst>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#,##0.00&quot; €&quot;;\(#,##0.00&quot; €)&quot;;\-"/>
    <numFmt numFmtId="167" formatCode="0.0"/>
    <numFmt numFmtId="168" formatCode="#,##0;\(#,##0\);\-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color rgb="FFC00000"/>
      </font>
    </dxf>
    <dxf>
      <font>
        <name val="Arial"/>
        <charset val="1"/>
        <family val="0"/>
        <color rgb="FF008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15</v>
      </c>
      <c r="B1" s="5"/>
      <c r="C1" s="5"/>
    </row>
    <row r="2" customFormat="false" ht="15" hidden="false" customHeight="false" outlineLevel="0" collapsed="false">
      <c r="A2" s="5"/>
      <c r="B2" s="5"/>
      <c r="C2" s="5"/>
    </row>
    <row r="3" customFormat="false" ht="15" hidden="false" customHeight="false" outlineLevel="0" collapsed="false">
      <c r="A3" s="6" t="s">
        <v>16</v>
      </c>
      <c r="B3" s="6" t="s">
        <v>17</v>
      </c>
      <c r="C3" s="6" t="s">
        <v>18</v>
      </c>
    </row>
    <row r="4" customFormat="false" ht="26.85" hidden="false" customHeight="false" outlineLevel="0" collapsed="false">
      <c r="A4" s="2" t="s">
        <v>19</v>
      </c>
      <c r="B4" s="7" t="n">
        <v>0.21</v>
      </c>
      <c r="C4" s="8" t="s">
        <v>20</v>
      </c>
    </row>
    <row r="5" customFormat="false" ht="26.85" hidden="false" customHeight="false" outlineLevel="0" collapsed="false">
      <c r="A5" s="2" t="s">
        <v>21</v>
      </c>
      <c r="B5" s="9" t="n">
        <v>0.015</v>
      </c>
      <c r="C5" s="8" t="s">
        <v>22</v>
      </c>
    </row>
    <row r="6" customFormat="false" ht="15" hidden="false" customHeight="false" outlineLevel="0" collapsed="false">
      <c r="A6" s="2" t="s">
        <v>23</v>
      </c>
      <c r="B6" s="10" t="n">
        <v>0.25</v>
      </c>
      <c r="C6" s="8" t="s">
        <v>24</v>
      </c>
    </row>
    <row r="7" customFormat="false" ht="15" hidden="false" customHeight="false" outlineLevel="0" collapsed="false">
      <c r="A7" s="2" t="s">
        <v>25</v>
      </c>
      <c r="B7" s="10" t="n">
        <v>200</v>
      </c>
      <c r="C7" s="8" t="s">
        <v>26</v>
      </c>
    </row>
    <row r="8" customFormat="false" ht="26.85" hidden="false" customHeight="false" outlineLevel="0" collapsed="false">
      <c r="A8" s="2" t="s">
        <v>27</v>
      </c>
      <c r="B8" s="10" t="n">
        <v>0.65</v>
      </c>
      <c r="C8" s="8" t="s">
        <v>28</v>
      </c>
    </row>
    <row r="9" customFormat="false" ht="15" hidden="false" customHeight="false" outlineLevel="0" collapsed="false">
      <c r="A9" s="2" t="s">
        <v>29</v>
      </c>
      <c r="B9" s="10" t="n">
        <v>1.2</v>
      </c>
      <c r="C9" s="8" t="s">
        <v>26</v>
      </c>
    </row>
    <row r="10" customFormat="false" ht="15" hidden="false" customHeight="false" outlineLevel="0" collapsed="false">
      <c r="A10" s="2" t="s">
        <v>30</v>
      </c>
      <c r="B10" s="10" t="n">
        <v>40</v>
      </c>
      <c r="C10" s="8" t="s">
        <v>31</v>
      </c>
    </row>
    <row r="11" customFormat="false" ht="15" hidden="false" customHeight="false" outlineLevel="0" collapsed="false">
      <c r="A11" s="2" t="s">
        <v>32</v>
      </c>
      <c r="B11" s="10" t="n">
        <v>35</v>
      </c>
      <c r="C11" s="8" t="s">
        <v>26</v>
      </c>
    </row>
    <row r="12" customFormat="false" ht="26.85" hidden="false" customHeight="false" outlineLevel="0" collapsed="false">
      <c r="A12" s="2" t="s">
        <v>33</v>
      </c>
      <c r="B12" s="10" t="n">
        <v>3</v>
      </c>
      <c r="C12" s="8" t="s">
        <v>34</v>
      </c>
    </row>
    <row r="13" customFormat="false" ht="26.85" hidden="false" customHeight="false" outlineLevel="0" collapsed="false">
      <c r="A13" s="2" t="s">
        <v>35</v>
      </c>
      <c r="B13" s="11" t="n">
        <v>2</v>
      </c>
      <c r="C13" s="8" t="s">
        <v>36</v>
      </c>
    </row>
    <row r="14" customFormat="false" ht="15" hidden="false" customHeight="false" outlineLevel="0" collapsed="false">
      <c r="A14" s="2" t="s">
        <v>37</v>
      </c>
      <c r="B14" s="7" t="n">
        <v>0.05</v>
      </c>
      <c r="C14" s="8" t="s">
        <v>38</v>
      </c>
    </row>
    <row r="15" customFormat="false" ht="15" hidden="false" customHeight="false" outlineLevel="0" collapsed="false">
      <c r="A15" s="2" t="s">
        <v>39</v>
      </c>
      <c r="B15" s="11" t="n">
        <v>36</v>
      </c>
      <c r="C15" s="8" t="s">
        <v>40</v>
      </c>
    </row>
    <row r="16" customFormat="false" ht="15" hidden="false" customHeight="false" outlineLevel="0" collapsed="false">
      <c r="A16" s="2" t="s">
        <v>41</v>
      </c>
      <c r="B16" s="11" t="n">
        <v>30</v>
      </c>
      <c r="C16" s="8" t="s">
        <v>42</v>
      </c>
    </row>
    <row r="17" customFormat="false" ht="15" hidden="false" customHeight="false" outlineLevel="0" collapsed="false">
      <c r="A17" s="2" t="s">
        <v>43</v>
      </c>
      <c r="B17" s="12" t="n">
        <v>30.4</v>
      </c>
      <c r="C17" s="8" t="s">
        <v>44</v>
      </c>
    </row>
    <row r="18" customFormat="false" ht="15" hidden="false" customHeight="false" outlineLevel="0" collapsed="false">
      <c r="A18" s="2" t="s">
        <v>45</v>
      </c>
      <c r="B18" s="13" t="n">
        <f aca="false">B7/B17</f>
        <v>6.57894736842105</v>
      </c>
      <c r="C18" s="8" t="s">
        <v>46</v>
      </c>
    </row>
    <row r="19" customFormat="false" ht="15" hidden="false" customHeight="false" outlineLevel="0" collapsed="false">
      <c r="A19" s="2" t="s">
        <v>47</v>
      </c>
      <c r="B19" s="14" t="n">
        <f aca="false">B7/B8</f>
        <v>307.692307692308</v>
      </c>
      <c r="C19" s="8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49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4" t="s">
        <v>50</v>
      </c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</row>
    <row r="4" customFormat="false" ht="39.55" hidden="false" customHeight="false" outlineLevel="0" collapsed="false">
      <c r="A4" s="15" t="s">
        <v>51</v>
      </c>
      <c r="B4" s="15" t="s">
        <v>52</v>
      </c>
      <c r="C4" s="15" t="s">
        <v>53</v>
      </c>
      <c r="D4" s="15" t="s">
        <v>54</v>
      </c>
      <c r="E4" s="15" t="s">
        <v>55</v>
      </c>
      <c r="F4" s="15" t="s">
        <v>56</v>
      </c>
      <c r="G4" s="15" t="s">
        <v>57</v>
      </c>
      <c r="H4" s="15" t="s">
        <v>58</v>
      </c>
    </row>
    <row r="5" customFormat="false" ht="15" hidden="false" customHeight="false" outlineLevel="0" collapsed="false">
      <c r="A5" s="16" t="s">
        <v>59</v>
      </c>
      <c r="B5" s="16" t="s">
        <v>60</v>
      </c>
      <c r="C5" s="17"/>
      <c r="D5" s="18"/>
      <c r="E5" s="18"/>
      <c r="F5" s="19"/>
      <c r="G5" s="2" t="str">
        <f aca="false">IF(E5="","à relever",IF(E5&gt;Paramètres!$B$9,"AU-DESSUS du seuil","OK"))</f>
        <v>à relever</v>
      </c>
      <c r="H5" s="5"/>
    </row>
    <row r="6" customFormat="false" ht="15" hidden="false" customHeight="false" outlineLevel="0" collapsed="false">
      <c r="A6" s="16" t="s">
        <v>59</v>
      </c>
      <c r="B6" s="16" t="s">
        <v>61</v>
      </c>
      <c r="C6" s="17"/>
      <c r="D6" s="18"/>
      <c r="E6" s="18"/>
      <c r="F6" s="19"/>
      <c r="G6" s="2" t="str">
        <f aca="false">IF(E6="","à relever",IF(E6&gt;Paramètres!$B$9,"AU-DESSUS du seuil","OK"))</f>
        <v>à relever</v>
      </c>
      <c r="H6" s="5"/>
    </row>
    <row r="7" customFormat="false" ht="15" hidden="false" customHeight="false" outlineLevel="0" collapsed="false">
      <c r="A7" s="16" t="s">
        <v>59</v>
      </c>
      <c r="B7" s="16" t="s">
        <v>62</v>
      </c>
      <c r="C7" s="17"/>
      <c r="D7" s="18"/>
      <c r="E7" s="18"/>
      <c r="F7" s="19"/>
      <c r="G7" s="2" t="str">
        <f aca="false">IF(E7="","à relever",IF(E7&gt;Paramètres!$B$9,"AU-DESSUS du seuil","OK"))</f>
        <v>à relever</v>
      </c>
      <c r="H7" s="5"/>
    </row>
    <row r="8" customFormat="false" ht="15" hidden="false" customHeight="false" outlineLevel="0" collapsed="false">
      <c r="A8" s="16" t="s">
        <v>59</v>
      </c>
      <c r="B8" s="16" t="s">
        <v>63</v>
      </c>
      <c r="C8" s="17"/>
      <c r="D8" s="18"/>
      <c r="E8" s="18"/>
      <c r="F8" s="19"/>
      <c r="G8" s="2" t="str">
        <f aca="false">IF(E8="","à relever",IF(E8&gt;Paramètres!$B$9,"AU-DESSUS du seuil","OK"))</f>
        <v>à relever</v>
      </c>
      <c r="H8" s="5"/>
    </row>
    <row r="9" customFormat="false" ht="15" hidden="false" customHeight="false" outlineLevel="0" collapsed="false">
      <c r="A9" s="16" t="s">
        <v>59</v>
      </c>
      <c r="B9" s="16" t="s">
        <v>64</v>
      </c>
      <c r="C9" s="17"/>
      <c r="D9" s="18"/>
      <c r="E9" s="18"/>
      <c r="F9" s="19"/>
      <c r="G9" s="2" t="str">
        <f aca="false">IF(E9="","à relever",IF(E9&gt;Paramètres!$B$9,"AU-DESSUS du seuil","OK"))</f>
        <v>à relever</v>
      </c>
      <c r="H9" s="5"/>
    </row>
    <row r="10" customFormat="false" ht="15" hidden="false" customHeight="false" outlineLevel="0" collapsed="false">
      <c r="A10" s="16" t="s">
        <v>59</v>
      </c>
      <c r="B10" s="16" t="s">
        <v>65</v>
      </c>
      <c r="C10" s="17"/>
      <c r="D10" s="18"/>
      <c r="E10" s="18"/>
      <c r="F10" s="19"/>
      <c r="G10" s="2" t="str">
        <f aca="false">IF(E10="","à relever",IF(E10&gt;Paramètres!$B$9,"AU-DESSUS du seuil","OK"))</f>
        <v>à relever</v>
      </c>
      <c r="H10" s="5"/>
    </row>
    <row r="11" customFormat="false" ht="15" hidden="false" customHeight="false" outlineLevel="0" collapsed="false">
      <c r="A11" s="16" t="s">
        <v>59</v>
      </c>
      <c r="B11" s="16" t="s">
        <v>66</v>
      </c>
      <c r="C11" s="17"/>
      <c r="D11" s="18"/>
      <c r="E11" s="18"/>
      <c r="F11" s="19"/>
      <c r="G11" s="2" t="str">
        <f aca="false">IF(E11="","à relever",IF(E11&gt;Paramètres!$B$9,"AU-DESSUS du seuil","OK"))</f>
        <v>à relever</v>
      </c>
      <c r="H11" s="5"/>
    </row>
    <row r="12" customFormat="false" ht="15" hidden="false" customHeight="false" outlineLevel="0" collapsed="false">
      <c r="A12" s="16" t="s">
        <v>59</v>
      </c>
      <c r="B12" s="16" t="s">
        <v>67</v>
      </c>
      <c r="C12" s="17"/>
      <c r="D12" s="18"/>
      <c r="E12" s="18"/>
      <c r="F12" s="19"/>
      <c r="G12" s="2" t="str">
        <f aca="false">IF(E12="","à relever",IF(E12&gt;Paramètres!$B$9,"AU-DESSUS du seuil","OK"))</f>
        <v>à relever</v>
      </c>
      <c r="H12" s="5"/>
    </row>
    <row r="13" customFormat="false" ht="15" hidden="false" customHeight="false" outlineLevel="0" collapsed="false">
      <c r="A13" s="16" t="s">
        <v>59</v>
      </c>
      <c r="B13" s="16" t="s">
        <v>68</v>
      </c>
      <c r="C13" s="17"/>
      <c r="D13" s="18"/>
      <c r="E13" s="18"/>
      <c r="F13" s="19"/>
      <c r="G13" s="2" t="str">
        <f aca="false">IF(E13="","à relever",IF(E13&gt;Paramètres!$B$9,"AU-DESSUS du seuil","OK"))</f>
        <v>à relever</v>
      </c>
      <c r="H13" s="5"/>
    </row>
    <row r="14" customFormat="false" ht="15" hidden="false" customHeight="false" outlineLevel="0" collapsed="false">
      <c r="A14" s="16" t="s">
        <v>59</v>
      </c>
      <c r="B14" s="16" t="s">
        <v>69</v>
      </c>
      <c r="C14" s="17"/>
      <c r="D14" s="18"/>
      <c r="E14" s="18"/>
      <c r="F14" s="19"/>
      <c r="G14" s="2" t="str">
        <f aca="false">IF(E14="","à relever",IF(E14&gt;Paramètres!$B$9,"AU-DESSUS du seuil","OK"))</f>
        <v>à relever</v>
      </c>
      <c r="H14" s="5"/>
    </row>
    <row r="15" customFormat="false" ht="15" hidden="false" customHeight="false" outlineLevel="0" collapsed="false">
      <c r="A15" s="16" t="s">
        <v>59</v>
      </c>
      <c r="B15" s="16" t="s">
        <v>70</v>
      </c>
      <c r="C15" s="17"/>
      <c r="D15" s="18"/>
      <c r="E15" s="18"/>
      <c r="F15" s="19"/>
      <c r="G15" s="2" t="str">
        <f aca="false">IF(E15="","à relever",IF(E15&gt;Paramètres!$B$9,"AU-DESSUS du seuil","OK"))</f>
        <v>à relever</v>
      </c>
      <c r="H15" s="5"/>
    </row>
    <row r="16" customFormat="false" ht="15" hidden="false" customHeight="false" outlineLevel="0" collapsed="false">
      <c r="A16" s="16" t="s">
        <v>59</v>
      </c>
      <c r="B16" s="16" t="s">
        <v>71</v>
      </c>
      <c r="C16" s="17"/>
      <c r="D16" s="18"/>
      <c r="E16" s="18"/>
      <c r="F16" s="19"/>
      <c r="G16" s="2" t="str">
        <f aca="false">IF(E16="","à relever",IF(E16&gt;Paramètres!$B$9,"AU-DESSUS du seuil","OK"))</f>
        <v>à relever</v>
      </c>
      <c r="H16" s="5"/>
    </row>
    <row r="17" customFormat="false" ht="15" hidden="false" customHeight="false" outlineLevel="0" collapsed="false">
      <c r="A17" s="16" t="s">
        <v>59</v>
      </c>
      <c r="B17" s="16" t="s">
        <v>72</v>
      </c>
      <c r="C17" s="17"/>
      <c r="D17" s="18"/>
      <c r="E17" s="18"/>
      <c r="F17" s="19"/>
      <c r="G17" s="2" t="str">
        <f aca="false">IF(E17="","à relever",IF(E17&gt;Paramètres!$B$9,"AU-DESSUS du seuil","OK"))</f>
        <v>à relever</v>
      </c>
      <c r="H17" s="5"/>
    </row>
    <row r="18" customFormat="false" ht="15" hidden="false" customHeight="false" outlineLevel="0" collapsed="false">
      <c r="A18" s="16" t="s">
        <v>59</v>
      </c>
      <c r="B18" s="16" t="s">
        <v>73</v>
      </c>
      <c r="C18" s="17"/>
      <c r="D18" s="18"/>
      <c r="E18" s="18"/>
      <c r="F18" s="19"/>
      <c r="G18" s="2" t="str">
        <f aca="false">IF(E18="","à relever",IF(E18&gt;Paramètres!$B$9,"AU-DESSUS du seuil","OK"))</f>
        <v>à relever</v>
      </c>
      <c r="H18" s="5"/>
    </row>
    <row r="19" customFormat="false" ht="15" hidden="false" customHeight="false" outlineLevel="0" collapsed="false">
      <c r="A19" s="16" t="s">
        <v>59</v>
      </c>
      <c r="B19" s="16" t="s">
        <v>74</v>
      </c>
      <c r="C19" s="17"/>
      <c r="D19" s="18"/>
      <c r="E19" s="18"/>
      <c r="F19" s="19"/>
      <c r="G19" s="2" t="str">
        <f aca="false">IF(E19="","à relever",IF(E19&gt;Paramètres!$B$9,"AU-DESSUS du seuil","OK"))</f>
        <v>à relever</v>
      </c>
      <c r="H19" s="5"/>
    </row>
    <row r="20" customFormat="false" ht="15" hidden="false" customHeight="false" outlineLevel="0" collapsed="false">
      <c r="A20" s="16" t="s">
        <v>75</v>
      </c>
      <c r="B20" s="16" t="s">
        <v>76</v>
      </c>
      <c r="C20" s="17"/>
      <c r="D20" s="18"/>
      <c r="E20" s="18"/>
      <c r="F20" s="19"/>
      <c r="G20" s="2" t="str">
        <f aca="false">IF(E20="","à relever",IF(E20&gt;Paramètres!$B$9,"AU-DESSUS du seuil","OK"))</f>
        <v>à relever</v>
      </c>
      <c r="H20" s="5"/>
    </row>
    <row r="21" customFormat="false" ht="15" hidden="false" customHeight="false" outlineLevel="0" collapsed="false">
      <c r="A21" s="16" t="s">
        <v>75</v>
      </c>
      <c r="B21" s="16" t="s">
        <v>77</v>
      </c>
      <c r="C21" s="17"/>
      <c r="D21" s="18"/>
      <c r="E21" s="18"/>
      <c r="F21" s="19"/>
      <c r="G21" s="2" t="str">
        <f aca="false">IF(E21="","à relever",IF(E21&gt;Paramètres!$B$9,"AU-DESSUS du seuil","OK"))</f>
        <v>à relever</v>
      </c>
      <c r="H21" s="5"/>
    </row>
    <row r="22" customFormat="false" ht="15" hidden="false" customHeight="false" outlineLevel="0" collapsed="false">
      <c r="A22" s="16" t="s">
        <v>75</v>
      </c>
      <c r="B22" s="16" t="s">
        <v>78</v>
      </c>
      <c r="C22" s="17"/>
      <c r="D22" s="18"/>
      <c r="E22" s="18"/>
      <c r="F22" s="19"/>
      <c r="G22" s="2" t="str">
        <f aca="false">IF(E22="","à relever",IF(E22&gt;Paramètres!$B$9,"AU-DESSUS du seuil","OK"))</f>
        <v>à relever</v>
      </c>
      <c r="H22" s="5"/>
    </row>
    <row r="23" customFormat="false" ht="15" hidden="false" customHeight="false" outlineLevel="0" collapsed="false">
      <c r="A23" s="16" t="s">
        <v>75</v>
      </c>
      <c r="B23" s="16" t="s">
        <v>79</v>
      </c>
      <c r="C23" s="17"/>
      <c r="D23" s="18"/>
      <c r="E23" s="18"/>
      <c r="F23" s="19"/>
      <c r="G23" s="2" t="str">
        <f aca="false">IF(E23="","à relever",IF(E23&gt;Paramètres!$B$9,"AU-DESSUS du seuil","OK"))</f>
        <v>à relever</v>
      </c>
      <c r="H23" s="5"/>
    </row>
    <row r="24" customFormat="false" ht="15" hidden="false" customHeight="false" outlineLevel="0" collapsed="false">
      <c r="A24" s="16" t="s">
        <v>75</v>
      </c>
      <c r="B24" s="16" t="s">
        <v>80</v>
      </c>
      <c r="C24" s="17"/>
      <c r="D24" s="18"/>
      <c r="E24" s="18"/>
      <c r="F24" s="19"/>
      <c r="G24" s="2" t="str">
        <f aca="false">IF(E24="","à relever",IF(E24&gt;Paramètres!$B$9,"AU-DESSUS du seuil","OK"))</f>
        <v>à relever</v>
      </c>
      <c r="H24" s="5"/>
    </row>
    <row r="25" customFormat="false" ht="15" hidden="false" customHeight="false" outlineLevel="0" collapsed="false">
      <c r="A25" s="16" t="s">
        <v>75</v>
      </c>
      <c r="B25" s="16" t="s">
        <v>81</v>
      </c>
      <c r="C25" s="17"/>
      <c r="D25" s="18"/>
      <c r="E25" s="18"/>
      <c r="F25" s="19"/>
      <c r="G25" s="2" t="str">
        <f aca="false">IF(E25="","à relever",IF(E25&gt;Paramètres!$B$9,"AU-DESSUS du seuil","OK"))</f>
        <v>à relever</v>
      </c>
      <c r="H25" s="5"/>
    </row>
    <row r="26" customFormat="false" ht="15" hidden="false" customHeight="false" outlineLevel="0" collapsed="false">
      <c r="A26" s="16" t="s">
        <v>75</v>
      </c>
      <c r="B26" s="16" t="s">
        <v>82</v>
      </c>
      <c r="C26" s="17"/>
      <c r="D26" s="18"/>
      <c r="E26" s="18"/>
      <c r="F26" s="19"/>
      <c r="G26" s="2" t="str">
        <f aca="false">IF(E26="","à relever",IF(E26&gt;Paramètres!$B$9,"AU-DESSUS du seuil","OK"))</f>
        <v>à relever</v>
      </c>
      <c r="H26" s="5"/>
    </row>
    <row r="27" customFormat="false" ht="15" hidden="false" customHeight="false" outlineLevel="0" collapsed="false">
      <c r="A27" s="16" t="s">
        <v>75</v>
      </c>
      <c r="B27" s="16" t="s">
        <v>83</v>
      </c>
      <c r="C27" s="17"/>
      <c r="D27" s="18"/>
      <c r="E27" s="18"/>
      <c r="F27" s="19"/>
      <c r="G27" s="2" t="str">
        <f aca="false">IF(E27="","à relever",IF(E27&gt;Paramètres!$B$9,"AU-DESSUS du seuil","OK"))</f>
        <v>à relever</v>
      </c>
      <c r="H27" s="5"/>
    </row>
    <row r="28" customFormat="false" ht="15" hidden="false" customHeight="false" outlineLevel="0" collapsed="false">
      <c r="A28" s="16" t="s">
        <v>75</v>
      </c>
      <c r="B28" s="16" t="s">
        <v>84</v>
      </c>
      <c r="C28" s="17"/>
      <c r="D28" s="18"/>
      <c r="E28" s="18"/>
      <c r="F28" s="19"/>
      <c r="G28" s="2" t="str">
        <f aca="false">IF(E28="","à relever",IF(E28&gt;Paramètres!$B$9,"AU-DESSUS du seuil","OK"))</f>
        <v>à relever</v>
      </c>
      <c r="H28" s="5"/>
    </row>
    <row r="29" customFormat="false" ht="15" hidden="false" customHeight="false" outlineLevel="0" collapsed="false">
      <c r="A29" s="16" t="s">
        <v>75</v>
      </c>
      <c r="B29" s="16" t="s">
        <v>85</v>
      </c>
      <c r="C29" s="17"/>
      <c r="D29" s="18"/>
      <c r="E29" s="18"/>
      <c r="F29" s="19"/>
      <c r="G29" s="2" t="str">
        <f aca="false">IF(E29="","à relever",IF(E29&gt;Paramètres!$B$9,"AU-DESSUS du seuil","OK"))</f>
        <v>à relever</v>
      </c>
      <c r="H29" s="5"/>
    </row>
    <row r="30" customFormat="false" ht="15" hidden="false" customHeight="false" outlineLevel="0" collapsed="false">
      <c r="A30" s="16" t="s">
        <v>75</v>
      </c>
      <c r="B30" s="16" t="s">
        <v>86</v>
      </c>
      <c r="C30" s="17"/>
      <c r="D30" s="18"/>
      <c r="E30" s="18"/>
      <c r="F30" s="19"/>
      <c r="G30" s="2" t="str">
        <f aca="false">IF(E30="","à relever",IF(E30&gt;Paramètres!$B$9,"AU-DESSUS du seuil","OK"))</f>
        <v>à relever</v>
      </c>
      <c r="H30" s="5"/>
    </row>
    <row r="31" customFormat="false" ht="15" hidden="false" customHeight="false" outlineLevel="0" collapsed="false">
      <c r="A31" s="16" t="s">
        <v>75</v>
      </c>
      <c r="B31" s="16" t="s">
        <v>87</v>
      </c>
      <c r="C31" s="17"/>
      <c r="D31" s="18"/>
      <c r="E31" s="18"/>
      <c r="F31" s="19"/>
      <c r="G31" s="2" t="str">
        <f aca="false">IF(E31="","à relever",IF(E31&gt;Paramètres!$B$9,"AU-DESSUS du seuil","OK"))</f>
        <v>à relever</v>
      </c>
      <c r="H31" s="5"/>
    </row>
    <row r="32" customFormat="false" ht="15" hidden="false" customHeight="false" outlineLevel="0" collapsed="false">
      <c r="A32" s="16" t="s">
        <v>88</v>
      </c>
      <c r="B32" s="16" t="s">
        <v>89</v>
      </c>
      <c r="C32" s="17"/>
      <c r="D32" s="18"/>
      <c r="E32" s="18"/>
      <c r="F32" s="19"/>
      <c r="G32" s="2" t="str">
        <f aca="false">IF(E32="","à relever",IF(E32&gt;Paramètres!$B$9,"AU-DESSUS du seuil","OK"))</f>
        <v>à relever</v>
      </c>
      <c r="H32" s="5"/>
    </row>
    <row r="33" customFormat="false" ht="15" hidden="false" customHeight="false" outlineLevel="0" collapsed="false">
      <c r="A33" s="16" t="s">
        <v>88</v>
      </c>
      <c r="B33" s="16" t="s">
        <v>90</v>
      </c>
      <c r="C33" s="17"/>
      <c r="D33" s="18"/>
      <c r="E33" s="18"/>
      <c r="F33" s="19"/>
      <c r="G33" s="2" t="str">
        <f aca="false">IF(E33="","à relever",IF(E33&gt;Paramètres!$B$9,"AU-DESSUS du seuil","OK"))</f>
        <v>à relever</v>
      </c>
      <c r="H33" s="5"/>
    </row>
    <row r="34" customFormat="false" ht="15" hidden="false" customHeight="false" outlineLevel="0" collapsed="false">
      <c r="A34" s="16" t="s">
        <v>88</v>
      </c>
      <c r="B34" s="16" t="s">
        <v>91</v>
      </c>
      <c r="C34" s="17"/>
      <c r="D34" s="18"/>
      <c r="E34" s="18"/>
      <c r="F34" s="19"/>
      <c r="G34" s="2" t="str">
        <f aca="false">IF(E34="","à relever",IF(E34&gt;Paramètres!$B$9,"AU-DESSUS du seuil","OK"))</f>
        <v>à relever</v>
      </c>
      <c r="H34" s="5"/>
    </row>
    <row r="35" customFormat="false" ht="15" hidden="false" customHeight="false" outlineLevel="0" collapsed="false">
      <c r="A35" s="16" t="s">
        <v>88</v>
      </c>
      <c r="B35" s="16" t="s">
        <v>92</v>
      </c>
      <c r="C35" s="17"/>
      <c r="D35" s="18"/>
      <c r="E35" s="18"/>
      <c r="F35" s="19"/>
      <c r="G35" s="2" t="str">
        <f aca="false">IF(E35="","à relever",IF(E35&gt;Paramètres!$B$9,"AU-DESSUS du seuil","OK"))</f>
        <v>à relever</v>
      </c>
      <c r="H35" s="5"/>
    </row>
    <row r="36" customFormat="false" ht="15" hidden="false" customHeight="false" outlineLevel="0" collapsed="false">
      <c r="A36" s="16" t="s">
        <v>88</v>
      </c>
      <c r="B36" s="16" t="s">
        <v>93</v>
      </c>
      <c r="C36" s="17"/>
      <c r="D36" s="18"/>
      <c r="E36" s="18"/>
      <c r="F36" s="19"/>
      <c r="G36" s="2" t="str">
        <f aca="false">IF(E36="","à relever",IF(E36&gt;Paramètres!$B$9,"AU-DESSUS du seuil","OK"))</f>
        <v>à relever</v>
      </c>
      <c r="H36" s="5"/>
    </row>
    <row r="37" customFormat="false" ht="15" hidden="false" customHeight="false" outlineLevel="0" collapsed="false">
      <c r="A37" s="16" t="s">
        <v>88</v>
      </c>
      <c r="B37" s="16" t="s">
        <v>94</v>
      </c>
      <c r="C37" s="17"/>
      <c r="D37" s="18"/>
      <c r="E37" s="18"/>
      <c r="F37" s="19"/>
      <c r="G37" s="2" t="str">
        <f aca="false">IF(E37="","à relever",IF(E37&gt;Paramètres!$B$9,"AU-DESSUS du seuil","OK"))</f>
        <v>à relever</v>
      </c>
      <c r="H37" s="5"/>
    </row>
    <row r="38" customFormat="false" ht="15" hidden="false" customHeight="false" outlineLevel="0" collapsed="false">
      <c r="A38" s="16" t="s">
        <v>88</v>
      </c>
      <c r="B38" s="16" t="s">
        <v>95</v>
      </c>
      <c r="C38" s="17"/>
      <c r="D38" s="18"/>
      <c r="E38" s="18"/>
      <c r="F38" s="19"/>
      <c r="G38" s="2" t="str">
        <f aca="false">IF(E38="","à relever",IF(E38&gt;Paramètres!$B$9,"AU-DESSUS du seuil","OK"))</f>
        <v>à relever</v>
      </c>
      <c r="H38" s="5"/>
    </row>
    <row r="39" customFormat="false" ht="15" hidden="false" customHeight="false" outlineLevel="0" collapsed="false">
      <c r="A39" s="16" t="s">
        <v>88</v>
      </c>
      <c r="B39" s="16" t="s">
        <v>96</v>
      </c>
      <c r="C39" s="17"/>
      <c r="D39" s="18"/>
      <c r="E39" s="18"/>
      <c r="F39" s="19"/>
      <c r="G39" s="2" t="str">
        <f aca="false">IF(E39="","à relever",IF(E39&gt;Paramètres!$B$9,"AU-DESSUS du seuil","OK"))</f>
        <v>à relever</v>
      </c>
      <c r="H39" s="5"/>
    </row>
    <row r="40" customFormat="false" ht="15" hidden="false" customHeight="false" outlineLevel="0" collapsed="false">
      <c r="A40" s="16" t="s">
        <v>88</v>
      </c>
      <c r="B40" s="16" t="s">
        <v>97</v>
      </c>
      <c r="C40" s="17"/>
      <c r="D40" s="18"/>
      <c r="E40" s="18"/>
      <c r="F40" s="19"/>
      <c r="G40" s="2" t="str">
        <f aca="false">IF(E40="","à relever",IF(E40&gt;Paramètres!$B$9,"AU-DESSUS du seuil","OK"))</f>
        <v>à relever</v>
      </c>
      <c r="H40" s="5"/>
    </row>
    <row r="41" customFormat="false" ht="15" hidden="false" customHeight="false" outlineLevel="0" collapsed="false">
      <c r="A41" s="16" t="s">
        <v>88</v>
      </c>
      <c r="B41" s="16" t="s">
        <v>98</v>
      </c>
      <c r="C41" s="17"/>
      <c r="D41" s="18"/>
      <c r="E41" s="18"/>
      <c r="F41" s="19"/>
      <c r="G41" s="2" t="str">
        <f aca="false">IF(E41="","à relever",IF(E41&gt;Paramètres!$B$9,"AU-DESSUS du seuil","OK"))</f>
        <v>à relever</v>
      </c>
      <c r="H41" s="5"/>
    </row>
    <row r="42" customFormat="false" ht="15" hidden="false" customHeight="false" outlineLevel="0" collapsed="false">
      <c r="A42" s="16" t="s">
        <v>88</v>
      </c>
      <c r="B42" s="16" t="s">
        <v>99</v>
      </c>
      <c r="C42" s="17"/>
      <c r="D42" s="18"/>
      <c r="E42" s="18"/>
      <c r="F42" s="19"/>
      <c r="G42" s="2" t="str">
        <f aca="false">IF(E42="","à relever",IF(E42&gt;Paramètres!$B$9,"AU-DESSUS du seuil","OK"))</f>
        <v>à relever</v>
      </c>
      <c r="H42" s="5"/>
    </row>
    <row r="43" customFormat="false" ht="15" hidden="false" customHeight="false" outlineLevel="0" collapsed="false">
      <c r="A43" s="16" t="s">
        <v>88</v>
      </c>
      <c r="B43" s="16" t="s">
        <v>100</v>
      </c>
      <c r="C43" s="17"/>
      <c r="D43" s="18"/>
      <c r="E43" s="18"/>
      <c r="F43" s="19"/>
      <c r="G43" s="2" t="str">
        <f aca="false">IF(E43="","à relever",IF(E43&gt;Paramètres!$B$9,"AU-DESSUS du seuil","OK"))</f>
        <v>à relever</v>
      </c>
      <c r="H43" s="5"/>
    </row>
    <row r="44" customFormat="false" ht="15" hidden="false" customHeight="false" outlineLevel="0" collapsed="false">
      <c r="A44" s="16" t="s">
        <v>101</v>
      </c>
      <c r="B44" s="16" t="s">
        <v>102</v>
      </c>
      <c r="C44" s="17"/>
      <c r="D44" s="18"/>
      <c r="E44" s="18"/>
      <c r="F44" s="19"/>
      <c r="G44" s="2" t="str">
        <f aca="false">IF(E44="","à relever",IF(E44&gt;Paramètres!$B$9,"AU-DESSUS du seuil","OK"))</f>
        <v>à relever</v>
      </c>
      <c r="H44" s="5"/>
    </row>
    <row r="45" customFormat="false" ht="15" hidden="false" customHeight="false" outlineLevel="0" collapsed="false">
      <c r="A45" s="16" t="s">
        <v>101</v>
      </c>
      <c r="B45" s="16" t="s">
        <v>103</v>
      </c>
      <c r="C45" s="17"/>
      <c r="D45" s="18"/>
      <c r="E45" s="18"/>
      <c r="F45" s="19"/>
      <c r="G45" s="2" t="str">
        <f aca="false">IF(E45="","à relever",IF(E45&gt;Paramètres!$B$9,"AU-DESSUS du seuil","OK"))</f>
        <v>à relever</v>
      </c>
      <c r="H45" s="5"/>
    </row>
    <row r="46" customFormat="false" ht="15" hidden="false" customHeight="false" outlineLevel="0" collapsed="false">
      <c r="A46" s="16" t="s">
        <v>101</v>
      </c>
      <c r="B46" s="16" t="s">
        <v>104</v>
      </c>
      <c r="C46" s="17"/>
      <c r="D46" s="18"/>
      <c r="E46" s="18"/>
      <c r="F46" s="19"/>
      <c r="G46" s="2" t="str">
        <f aca="false">IF(E46="","à relever",IF(E46&gt;Paramètres!$B$9,"AU-DESSUS du seuil","OK"))</f>
        <v>à relever</v>
      </c>
      <c r="H46" s="5"/>
    </row>
    <row r="47" customFormat="false" ht="15" hidden="false" customHeight="false" outlineLevel="0" collapsed="false">
      <c r="A47" s="16" t="s">
        <v>101</v>
      </c>
      <c r="B47" s="16" t="s">
        <v>105</v>
      </c>
      <c r="C47" s="17"/>
      <c r="D47" s="18"/>
      <c r="E47" s="18"/>
      <c r="F47" s="19"/>
      <c r="G47" s="2" t="str">
        <f aca="false">IF(E47="","à relever",IF(E47&gt;Paramètres!$B$9,"AU-DESSUS du seuil","OK"))</f>
        <v>à relever</v>
      </c>
      <c r="H47" s="5"/>
    </row>
    <row r="48" customFormat="false" ht="15" hidden="false" customHeight="false" outlineLevel="0" collapsed="false">
      <c r="A48" s="16" t="s">
        <v>101</v>
      </c>
      <c r="B48" s="16" t="s">
        <v>106</v>
      </c>
      <c r="C48" s="17"/>
      <c r="D48" s="18"/>
      <c r="E48" s="18"/>
      <c r="F48" s="19"/>
      <c r="G48" s="2" t="str">
        <f aca="false">IF(E48="","à relever",IF(E48&gt;Paramètres!$B$9,"AU-DESSUS du seuil","OK"))</f>
        <v>à relever</v>
      </c>
      <c r="H48" s="5"/>
    </row>
    <row r="49" customFormat="false" ht="15" hidden="false" customHeight="false" outlineLevel="0" collapsed="false">
      <c r="A49" s="16" t="s">
        <v>101</v>
      </c>
      <c r="B49" s="16" t="s">
        <v>107</v>
      </c>
      <c r="C49" s="17"/>
      <c r="D49" s="18"/>
      <c r="E49" s="18"/>
      <c r="F49" s="19"/>
      <c r="G49" s="2" t="str">
        <f aca="false">IF(E49="","à relever",IF(E49&gt;Paramètres!$B$9,"AU-DESSUS du seuil","OK"))</f>
        <v>à relever</v>
      </c>
      <c r="H49" s="5"/>
    </row>
    <row r="50" customFormat="false" ht="15" hidden="false" customHeight="false" outlineLevel="0" collapsed="false">
      <c r="A50" s="16" t="s">
        <v>101</v>
      </c>
      <c r="B50" s="16" t="s">
        <v>108</v>
      </c>
      <c r="C50" s="17"/>
      <c r="D50" s="18"/>
      <c r="E50" s="18"/>
      <c r="F50" s="19"/>
      <c r="G50" s="2" t="str">
        <f aca="false">IF(E50="","à relever",IF(E50&gt;Paramètres!$B$9,"AU-DESSUS du seuil","OK"))</f>
        <v>à relever</v>
      </c>
      <c r="H50" s="5"/>
    </row>
    <row r="51" customFormat="false" ht="15" hidden="false" customHeight="false" outlineLevel="0" collapsed="false">
      <c r="A51" s="16" t="s">
        <v>101</v>
      </c>
      <c r="B51" s="16" t="s">
        <v>109</v>
      </c>
      <c r="C51" s="17"/>
      <c r="D51" s="18"/>
      <c r="E51" s="18"/>
      <c r="F51" s="19"/>
      <c r="G51" s="2" t="str">
        <f aca="false">IF(E51="","à relever",IF(E51&gt;Paramètres!$B$9,"AU-DESSUS du seuil","OK"))</f>
        <v>à relever</v>
      </c>
      <c r="H51" s="5"/>
    </row>
    <row r="52" customFormat="false" ht="15" hidden="false" customHeight="false" outlineLevel="0" collapsed="false">
      <c r="A52" s="16" t="s">
        <v>101</v>
      </c>
      <c r="B52" s="16" t="s">
        <v>110</v>
      </c>
      <c r="C52" s="17"/>
      <c r="D52" s="18"/>
      <c r="E52" s="18"/>
      <c r="F52" s="19"/>
      <c r="G52" s="2" t="str">
        <f aca="false">IF(E52="","à relever",IF(E52&gt;Paramètres!$B$9,"AU-DESSUS du seuil","OK"))</f>
        <v>à relever</v>
      </c>
      <c r="H52" s="5"/>
    </row>
    <row r="53" customFormat="false" ht="15" hidden="false" customHeight="false" outlineLevel="0" collapsed="false">
      <c r="A53" s="16" t="s">
        <v>101</v>
      </c>
      <c r="B53" s="16" t="s">
        <v>111</v>
      </c>
      <c r="C53" s="17"/>
      <c r="D53" s="18"/>
      <c r="E53" s="18"/>
      <c r="F53" s="19"/>
      <c r="G53" s="2" t="str">
        <f aca="false">IF(E53="","à relever",IF(E53&gt;Paramètres!$B$9,"AU-DESSUS du seuil","OK"))</f>
        <v>à relever</v>
      </c>
      <c r="H53" s="5"/>
    </row>
    <row r="54" customFormat="false" ht="15" hidden="false" customHeight="false" outlineLevel="0" collapsed="false">
      <c r="A54" s="16" t="s">
        <v>101</v>
      </c>
      <c r="B54" s="16" t="s">
        <v>112</v>
      </c>
      <c r="C54" s="17"/>
      <c r="D54" s="18"/>
      <c r="E54" s="18"/>
      <c r="F54" s="19"/>
      <c r="G54" s="2" t="str">
        <f aca="false">IF(E54="","à relever",IF(E54&gt;Paramètres!$B$9,"AU-DESSUS du seuil","OK"))</f>
        <v>à relever</v>
      </c>
      <c r="H54" s="5"/>
    </row>
    <row r="55" customFormat="false" ht="15" hidden="false" customHeight="false" outlineLevel="0" collapsed="false">
      <c r="A55" s="16" t="s">
        <v>113</v>
      </c>
      <c r="B55" s="16" t="s">
        <v>114</v>
      </c>
      <c r="C55" s="17"/>
      <c r="D55" s="18"/>
      <c r="E55" s="18"/>
      <c r="F55" s="19"/>
      <c r="G55" s="2" t="str">
        <f aca="false">IF(E55="","à relever",IF(E55&gt;Paramètres!$B$9,"AU-DESSUS du seuil","OK"))</f>
        <v>à relever</v>
      </c>
      <c r="H55" s="5"/>
    </row>
    <row r="56" customFormat="false" ht="15" hidden="false" customHeight="false" outlineLevel="0" collapsed="false">
      <c r="A56" s="16" t="s">
        <v>113</v>
      </c>
      <c r="B56" s="16" t="s">
        <v>115</v>
      </c>
      <c r="C56" s="17"/>
      <c r="D56" s="18"/>
      <c r="E56" s="18"/>
      <c r="F56" s="19"/>
      <c r="G56" s="2" t="str">
        <f aca="false">IF(E56="","à relever",IF(E56&gt;Paramètres!$B$9,"AU-DESSUS du seuil","OK"))</f>
        <v>à relever</v>
      </c>
      <c r="H56" s="5"/>
    </row>
    <row r="57" customFormat="false" ht="15" hidden="false" customHeight="false" outlineLevel="0" collapsed="false">
      <c r="A57" s="16" t="s">
        <v>113</v>
      </c>
      <c r="B57" s="16" t="s">
        <v>116</v>
      </c>
      <c r="C57" s="17"/>
      <c r="D57" s="18"/>
      <c r="E57" s="18"/>
      <c r="F57" s="19"/>
      <c r="G57" s="2" t="str">
        <f aca="false">IF(E57="","à relever",IF(E57&gt;Paramètres!$B$9,"AU-DESSUS du seuil","OK"))</f>
        <v>à relever</v>
      </c>
      <c r="H57" s="5"/>
    </row>
    <row r="58" customFormat="false" ht="15" hidden="false" customHeight="false" outlineLevel="0" collapsed="false">
      <c r="A58" s="16" t="s">
        <v>113</v>
      </c>
      <c r="B58" s="16" t="s">
        <v>117</v>
      </c>
      <c r="C58" s="17"/>
      <c r="D58" s="18"/>
      <c r="E58" s="18"/>
      <c r="F58" s="19"/>
      <c r="G58" s="2" t="str">
        <f aca="false">IF(E58="","à relever",IF(E58&gt;Paramètres!$B$9,"AU-DESSUS du seuil","OK"))</f>
        <v>à relever</v>
      </c>
      <c r="H58" s="5"/>
    </row>
    <row r="59" customFormat="false" ht="15" hidden="false" customHeight="false" outlineLevel="0" collapsed="false">
      <c r="A59" s="16" t="s">
        <v>113</v>
      </c>
      <c r="B59" s="16" t="s">
        <v>118</v>
      </c>
      <c r="C59" s="17"/>
      <c r="D59" s="18"/>
      <c r="E59" s="18"/>
      <c r="F59" s="19"/>
      <c r="G59" s="2" t="str">
        <f aca="false">IF(E59="","à relever",IF(E59&gt;Paramètres!$B$9,"AU-DESSUS du seuil","OK"))</f>
        <v>à relever</v>
      </c>
      <c r="H59" s="5"/>
    </row>
    <row r="60" customFormat="false" ht="15" hidden="false" customHeight="false" outlineLevel="0" collapsed="false">
      <c r="A60" s="16" t="s">
        <v>113</v>
      </c>
      <c r="B60" s="16" t="s">
        <v>119</v>
      </c>
      <c r="C60" s="17"/>
      <c r="D60" s="18"/>
      <c r="E60" s="18"/>
      <c r="F60" s="19"/>
      <c r="G60" s="2" t="str">
        <f aca="false">IF(E60="","à relever",IF(E60&gt;Paramètres!$B$9,"AU-DESSUS du seuil","OK"))</f>
        <v>à relever</v>
      </c>
      <c r="H60" s="5"/>
    </row>
    <row r="61" customFormat="false" ht="15" hidden="false" customHeight="false" outlineLevel="0" collapsed="false">
      <c r="A61" s="16" t="s">
        <v>113</v>
      </c>
      <c r="B61" s="16" t="s">
        <v>120</v>
      </c>
      <c r="C61" s="17"/>
      <c r="D61" s="18"/>
      <c r="E61" s="18"/>
      <c r="F61" s="19"/>
      <c r="G61" s="2" t="str">
        <f aca="false">IF(E61="","à relever",IF(E61&gt;Paramètres!$B$9,"AU-DESSUS du seuil","OK"))</f>
        <v>à relever</v>
      </c>
      <c r="H61" s="5"/>
    </row>
    <row r="62" customFormat="false" ht="15" hidden="false" customHeight="false" outlineLevel="0" collapsed="false">
      <c r="A62" s="16" t="s">
        <v>113</v>
      </c>
      <c r="B62" s="16" t="s">
        <v>121</v>
      </c>
      <c r="C62" s="17"/>
      <c r="D62" s="18"/>
      <c r="E62" s="18"/>
      <c r="F62" s="19"/>
      <c r="G62" s="2" t="str">
        <f aca="false">IF(E62="","à relever",IF(E62&gt;Paramètres!$B$9,"AU-DESSUS du seuil","OK"))</f>
        <v>à relever</v>
      </c>
      <c r="H62" s="5"/>
    </row>
    <row r="63" customFormat="false" ht="15" hidden="false" customHeight="false" outlineLevel="0" collapsed="false">
      <c r="A63" s="16" t="s">
        <v>113</v>
      </c>
      <c r="B63" s="16" t="s">
        <v>122</v>
      </c>
      <c r="C63" s="17"/>
      <c r="D63" s="18"/>
      <c r="E63" s="18"/>
      <c r="F63" s="19"/>
      <c r="G63" s="2" t="str">
        <f aca="false">IF(E63="","à relever",IF(E63&gt;Paramètres!$B$9,"AU-DESSUS du seuil","OK"))</f>
        <v>à relever</v>
      </c>
      <c r="H63" s="5"/>
    </row>
    <row r="64" customFormat="false" ht="15" hidden="false" customHeight="false" outlineLevel="0" collapsed="false">
      <c r="A64" s="16" t="s">
        <v>113</v>
      </c>
      <c r="B64" s="16" t="s">
        <v>123</v>
      </c>
      <c r="C64" s="17"/>
      <c r="D64" s="18"/>
      <c r="E64" s="18"/>
      <c r="F64" s="19"/>
      <c r="G64" s="2" t="str">
        <f aca="false">IF(E64="","à relever",IF(E64&gt;Paramètres!$B$9,"AU-DESSUS du seuil","OK"))</f>
        <v>à relever</v>
      </c>
      <c r="H64" s="5"/>
    </row>
    <row r="65" customFormat="false" ht="15" hidden="false" customHeight="false" outlineLevel="0" collapsed="false">
      <c r="A65" s="16" t="s">
        <v>113</v>
      </c>
      <c r="B65" s="16" t="s">
        <v>124</v>
      </c>
      <c r="C65" s="17"/>
      <c r="D65" s="18"/>
      <c r="E65" s="18"/>
      <c r="F65" s="19"/>
      <c r="G65" s="2" t="str">
        <f aca="false">IF(E65="","à relever",IF(E65&gt;Paramètres!$B$9,"AU-DESSUS du seuil","OK"))</f>
        <v>à relever</v>
      </c>
      <c r="H65" s="5"/>
    </row>
    <row r="66" customFormat="false" ht="15" hidden="false" customHeight="false" outlineLevel="0" collapsed="false">
      <c r="A66" s="16" t="s">
        <v>125</v>
      </c>
      <c r="B66" s="16" t="s">
        <v>126</v>
      </c>
      <c r="C66" s="17"/>
      <c r="D66" s="18"/>
      <c r="E66" s="18"/>
      <c r="F66" s="19"/>
      <c r="G66" s="2" t="str">
        <f aca="false">IF(E66="","à relever",IF(E66&gt;Paramètres!$B$9,"AU-DESSUS du seuil","OK"))</f>
        <v>à relever</v>
      </c>
      <c r="H66" s="5"/>
    </row>
    <row r="67" customFormat="false" ht="15" hidden="false" customHeight="false" outlineLevel="0" collapsed="false">
      <c r="A67" s="16" t="s">
        <v>125</v>
      </c>
      <c r="B67" s="16" t="s">
        <v>127</v>
      </c>
      <c r="C67" s="17"/>
      <c r="D67" s="18"/>
      <c r="E67" s="18"/>
      <c r="F67" s="19"/>
      <c r="G67" s="2" t="str">
        <f aca="false">IF(E67="","à relever",IF(E67&gt;Paramètres!$B$9,"AU-DESSUS du seuil","OK"))</f>
        <v>à relever</v>
      </c>
      <c r="H67" s="5"/>
    </row>
    <row r="68" customFormat="false" ht="15" hidden="false" customHeight="false" outlineLevel="0" collapsed="false">
      <c r="A68" s="16" t="s">
        <v>125</v>
      </c>
      <c r="B68" s="16" t="s">
        <v>128</v>
      </c>
      <c r="C68" s="17"/>
      <c r="D68" s="18"/>
      <c r="E68" s="18"/>
      <c r="F68" s="19"/>
      <c r="G68" s="2" t="str">
        <f aca="false">IF(E68="","à relever",IF(E68&gt;Paramètres!$B$9,"AU-DESSUS du seuil","OK"))</f>
        <v>à relever</v>
      </c>
      <c r="H68" s="5"/>
    </row>
    <row r="69" customFormat="false" ht="15" hidden="false" customHeight="false" outlineLevel="0" collapsed="false">
      <c r="A69" s="16" t="s">
        <v>125</v>
      </c>
      <c r="B69" s="16" t="s">
        <v>129</v>
      </c>
      <c r="C69" s="17"/>
      <c r="D69" s="18"/>
      <c r="E69" s="18"/>
      <c r="F69" s="19"/>
      <c r="G69" s="2" t="str">
        <f aca="false">IF(E69="","à relever",IF(E69&gt;Paramètres!$B$9,"AU-DESSUS du seuil","OK"))</f>
        <v>à relever</v>
      </c>
      <c r="H69" s="5"/>
    </row>
    <row r="70" customFormat="false" ht="15" hidden="false" customHeight="false" outlineLevel="0" collapsed="false">
      <c r="A70" s="16" t="s">
        <v>125</v>
      </c>
      <c r="B70" s="16" t="s">
        <v>130</v>
      </c>
      <c r="C70" s="17"/>
      <c r="D70" s="18"/>
      <c r="E70" s="18"/>
      <c r="F70" s="19"/>
      <c r="G70" s="2" t="str">
        <f aca="false">IF(E70="","à relever",IF(E70&gt;Paramètres!$B$9,"AU-DESSUS du seuil","OK"))</f>
        <v>à relever</v>
      </c>
      <c r="H70" s="5"/>
    </row>
    <row r="71" customFormat="false" ht="15" hidden="false" customHeight="false" outlineLevel="0" collapsed="false">
      <c r="A71" s="16" t="s">
        <v>125</v>
      </c>
      <c r="B71" s="16" t="s">
        <v>131</v>
      </c>
      <c r="C71" s="17"/>
      <c r="D71" s="18"/>
      <c r="E71" s="18"/>
      <c r="F71" s="19"/>
      <c r="G71" s="2" t="str">
        <f aca="false">IF(E71="","à relever",IF(E71&gt;Paramètres!$B$9,"AU-DESSUS du seuil","OK"))</f>
        <v>à relever</v>
      </c>
      <c r="H71" s="5"/>
    </row>
    <row r="72" customFormat="false" ht="15" hidden="false" customHeight="false" outlineLevel="0" collapsed="false">
      <c r="A72" s="16" t="s">
        <v>125</v>
      </c>
      <c r="B72" s="16" t="s">
        <v>132</v>
      </c>
      <c r="C72" s="17"/>
      <c r="D72" s="18"/>
      <c r="E72" s="18"/>
      <c r="F72" s="19"/>
      <c r="G72" s="2" t="str">
        <f aca="false">IF(E72="","à relever",IF(E72&gt;Paramètres!$B$9,"AU-DESSUS du seuil","OK"))</f>
        <v>à relever</v>
      </c>
      <c r="H72" s="5"/>
    </row>
    <row r="73" customFormat="false" ht="15" hidden="false" customHeight="false" outlineLevel="0" collapsed="false">
      <c r="A73" s="16" t="s">
        <v>125</v>
      </c>
      <c r="B73" s="16" t="s">
        <v>133</v>
      </c>
      <c r="C73" s="17"/>
      <c r="D73" s="18"/>
      <c r="E73" s="18"/>
      <c r="F73" s="19"/>
      <c r="G73" s="2" t="str">
        <f aca="false">IF(E73="","à relever",IF(E73&gt;Paramètres!$B$9,"AU-DESSUS du seuil","OK"))</f>
        <v>à relever</v>
      </c>
      <c r="H73" s="5"/>
    </row>
    <row r="74" customFormat="false" ht="15" hidden="false" customHeight="false" outlineLevel="0" collapsed="false">
      <c r="A74" s="16" t="s">
        <v>125</v>
      </c>
      <c r="B74" s="16" t="s">
        <v>134</v>
      </c>
      <c r="C74" s="17"/>
      <c r="D74" s="18"/>
      <c r="E74" s="18"/>
      <c r="F74" s="19"/>
      <c r="G74" s="2" t="str">
        <f aca="false">IF(E74="","à relever",IF(E74&gt;Paramètres!$B$9,"AU-DESSUS du seuil","OK"))</f>
        <v>à relever</v>
      </c>
      <c r="H74" s="5"/>
    </row>
    <row r="75" customFormat="false" ht="15" hidden="false" customHeight="false" outlineLevel="0" collapsed="false">
      <c r="A75" s="16" t="s">
        <v>125</v>
      </c>
      <c r="B75" s="16" t="s">
        <v>135</v>
      </c>
      <c r="C75" s="17"/>
      <c r="D75" s="18"/>
      <c r="E75" s="18"/>
      <c r="F75" s="19"/>
      <c r="G75" s="2" t="str">
        <f aca="false">IF(E75="","à relever",IF(E75&gt;Paramètres!$B$9,"AU-DESSUS du seuil","OK"))</f>
        <v>à relever</v>
      </c>
      <c r="H75" s="5"/>
    </row>
    <row r="76" customFormat="false" ht="15" hidden="false" customHeight="false" outlineLevel="0" collapsed="false">
      <c r="A76" s="16" t="s">
        <v>136</v>
      </c>
      <c r="B76" s="16" t="s">
        <v>137</v>
      </c>
      <c r="C76" s="17"/>
      <c r="D76" s="18"/>
      <c r="E76" s="18"/>
      <c r="F76" s="19"/>
      <c r="G76" s="2" t="str">
        <f aca="false">IF(E76="","à relever",IF(E76&gt;Paramètres!$B$9,"AU-DESSUS du seuil","OK"))</f>
        <v>à relever</v>
      </c>
      <c r="H76" s="5"/>
    </row>
    <row r="77" customFormat="false" ht="15" hidden="false" customHeight="false" outlineLevel="0" collapsed="false">
      <c r="A77" s="16" t="s">
        <v>136</v>
      </c>
      <c r="B77" s="16" t="s">
        <v>138</v>
      </c>
      <c r="C77" s="17"/>
      <c r="D77" s="18"/>
      <c r="E77" s="18"/>
      <c r="F77" s="19"/>
      <c r="G77" s="2" t="str">
        <f aca="false">IF(E77="","à relever",IF(E77&gt;Paramètres!$B$9,"AU-DESSUS du seuil","OK"))</f>
        <v>à relever</v>
      </c>
      <c r="H77" s="5"/>
    </row>
    <row r="78" customFormat="false" ht="15" hidden="false" customHeight="false" outlineLevel="0" collapsed="false">
      <c r="A78" s="16" t="s">
        <v>136</v>
      </c>
      <c r="B78" s="16" t="s">
        <v>139</v>
      </c>
      <c r="C78" s="17"/>
      <c r="D78" s="18"/>
      <c r="E78" s="18"/>
      <c r="F78" s="19"/>
      <c r="G78" s="2" t="str">
        <f aca="false">IF(E78="","à relever",IF(E78&gt;Paramètres!$B$9,"AU-DESSUS du seuil","OK"))</f>
        <v>à relever</v>
      </c>
      <c r="H78" s="5"/>
    </row>
    <row r="79" customFormat="false" ht="15" hidden="false" customHeight="false" outlineLevel="0" collapsed="false">
      <c r="A79" s="16" t="s">
        <v>136</v>
      </c>
      <c r="B79" s="16" t="s">
        <v>140</v>
      </c>
      <c r="C79" s="17"/>
      <c r="D79" s="18"/>
      <c r="E79" s="18"/>
      <c r="F79" s="19"/>
      <c r="G79" s="2" t="str">
        <f aca="false">IF(E79="","à relever",IF(E79&gt;Paramètres!$B$9,"AU-DESSUS du seuil","OK"))</f>
        <v>à relever</v>
      </c>
      <c r="H79" s="5"/>
    </row>
    <row r="80" customFormat="false" ht="15" hidden="false" customHeight="false" outlineLevel="0" collapsed="false">
      <c r="A80" s="16" t="s">
        <v>136</v>
      </c>
      <c r="B80" s="16" t="s">
        <v>141</v>
      </c>
      <c r="C80" s="17"/>
      <c r="D80" s="18"/>
      <c r="E80" s="18"/>
      <c r="F80" s="19"/>
      <c r="G80" s="2" t="str">
        <f aca="false">IF(E80="","à relever",IF(E80&gt;Paramètres!$B$9,"AU-DESSUS du seuil","OK"))</f>
        <v>à relever</v>
      </c>
      <c r="H80" s="5"/>
    </row>
    <row r="81" customFormat="false" ht="15" hidden="false" customHeight="false" outlineLevel="0" collapsed="false">
      <c r="A81" s="16" t="s">
        <v>136</v>
      </c>
      <c r="B81" s="16" t="s">
        <v>142</v>
      </c>
      <c r="C81" s="17"/>
      <c r="D81" s="18"/>
      <c r="E81" s="18"/>
      <c r="F81" s="19"/>
      <c r="G81" s="2" t="str">
        <f aca="false">IF(E81="","à relever",IF(E81&gt;Paramètres!$B$9,"AU-DESSUS du seuil","OK"))</f>
        <v>à relever</v>
      </c>
      <c r="H81" s="5"/>
    </row>
    <row r="82" customFormat="false" ht="15" hidden="false" customHeight="false" outlineLevel="0" collapsed="false">
      <c r="A82" s="16" t="s">
        <v>136</v>
      </c>
      <c r="B82" s="16" t="s">
        <v>143</v>
      </c>
      <c r="C82" s="17"/>
      <c r="D82" s="18"/>
      <c r="E82" s="18"/>
      <c r="F82" s="19"/>
      <c r="G82" s="2" t="str">
        <f aca="false">IF(E82="","à relever",IF(E82&gt;Paramètres!$B$9,"AU-DESSUS du seuil","OK"))</f>
        <v>à relever</v>
      </c>
      <c r="H82" s="5"/>
    </row>
    <row r="83" customFormat="false" ht="15" hidden="false" customHeight="false" outlineLevel="0" collapsed="false">
      <c r="A83" s="16" t="s">
        <v>136</v>
      </c>
      <c r="B83" s="16" t="s">
        <v>144</v>
      </c>
      <c r="C83" s="17"/>
      <c r="D83" s="18"/>
      <c r="E83" s="18"/>
      <c r="F83" s="19"/>
      <c r="G83" s="2" t="str">
        <f aca="false">IF(E83="","à relever",IF(E83&gt;Paramètres!$B$9,"AU-DESSUS du seuil","OK"))</f>
        <v>à relever</v>
      </c>
      <c r="H83" s="5"/>
    </row>
    <row r="84" customFormat="false" ht="15" hidden="false" customHeight="false" outlineLevel="0" collapsed="false">
      <c r="A84" s="16" t="s">
        <v>136</v>
      </c>
      <c r="B84" s="16" t="s">
        <v>145</v>
      </c>
      <c r="C84" s="17"/>
      <c r="D84" s="18"/>
      <c r="E84" s="18"/>
      <c r="F84" s="19"/>
      <c r="G84" s="2" t="str">
        <f aca="false">IF(E84="","à relever",IF(E84&gt;Paramètres!$B$9,"AU-DESSUS du seuil","OK"))</f>
        <v>à relever</v>
      </c>
      <c r="H84" s="5"/>
    </row>
    <row r="85" customFormat="false" ht="15" hidden="false" customHeight="false" outlineLevel="0" collapsed="false">
      <c r="A85" s="16" t="s">
        <v>136</v>
      </c>
      <c r="B85" s="16" t="s">
        <v>146</v>
      </c>
      <c r="C85" s="17"/>
      <c r="D85" s="18"/>
      <c r="E85" s="18"/>
      <c r="F85" s="19"/>
      <c r="G85" s="2" t="str">
        <f aca="false">IF(E85="","à relever",IF(E85&gt;Paramètres!$B$9,"AU-DESSUS du seuil","OK"))</f>
        <v>à relever</v>
      </c>
      <c r="H85" s="5"/>
    </row>
    <row r="86" customFormat="false" ht="15" hidden="false" customHeight="false" outlineLevel="0" collapsed="false">
      <c r="A86" s="16" t="s">
        <v>147</v>
      </c>
      <c r="B86" s="16" t="s">
        <v>148</v>
      </c>
      <c r="C86" s="17"/>
      <c r="D86" s="18"/>
      <c r="E86" s="18"/>
      <c r="F86" s="19"/>
      <c r="G86" s="2" t="str">
        <f aca="false">IF(E86="","à relever",IF(E86&gt;Paramètres!$B$9,"AU-DESSUS du seuil","OK"))</f>
        <v>à relever</v>
      </c>
      <c r="H86" s="5"/>
    </row>
    <row r="87" customFormat="false" ht="15" hidden="false" customHeight="false" outlineLevel="0" collapsed="false">
      <c r="A87" s="16" t="s">
        <v>147</v>
      </c>
      <c r="B87" s="16" t="s">
        <v>149</v>
      </c>
      <c r="C87" s="17"/>
      <c r="D87" s="18"/>
      <c r="E87" s="18"/>
      <c r="F87" s="19"/>
      <c r="G87" s="2" t="str">
        <f aca="false">IF(E87="","à relever",IF(E87&gt;Paramètres!$B$9,"AU-DESSUS du seuil","OK"))</f>
        <v>à relever</v>
      </c>
      <c r="H87" s="5"/>
    </row>
    <row r="88" customFormat="false" ht="15" hidden="false" customHeight="false" outlineLevel="0" collapsed="false">
      <c r="A88" s="16" t="s">
        <v>147</v>
      </c>
      <c r="B88" s="16" t="s">
        <v>150</v>
      </c>
      <c r="C88" s="17"/>
      <c r="D88" s="18"/>
      <c r="E88" s="18"/>
      <c r="F88" s="19"/>
      <c r="G88" s="2" t="str">
        <f aca="false">IF(E88="","à relever",IF(E88&gt;Paramètres!$B$9,"AU-DESSUS du seuil","OK"))</f>
        <v>à relever</v>
      </c>
      <c r="H88" s="5"/>
    </row>
    <row r="89" customFormat="false" ht="15" hidden="false" customHeight="false" outlineLevel="0" collapsed="false">
      <c r="A89" s="16" t="s">
        <v>147</v>
      </c>
      <c r="B89" s="16" t="s">
        <v>151</v>
      </c>
      <c r="C89" s="17"/>
      <c r="D89" s="18"/>
      <c r="E89" s="18"/>
      <c r="F89" s="19"/>
      <c r="G89" s="2" t="str">
        <f aca="false">IF(E89="","à relever",IF(E89&gt;Paramètres!$B$9,"AU-DESSUS du seuil","OK"))</f>
        <v>à relever</v>
      </c>
      <c r="H89" s="5"/>
    </row>
    <row r="90" customFormat="false" ht="15" hidden="false" customHeight="false" outlineLevel="0" collapsed="false">
      <c r="A90" s="16" t="s">
        <v>147</v>
      </c>
      <c r="B90" s="16" t="s">
        <v>152</v>
      </c>
      <c r="C90" s="17"/>
      <c r="D90" s="18"/>
      <c r="E90" s="18"/>
      <c r="F90" s="19"/>
      <c r="G90" s="2" t="str">
        <f aca="false">IF(E90="","à relever",IF(E90&gt;Paramètres!$B$9,"AU-DESSUS du seuil","OK"))</f>
        <v>à relever</v>
      </c>
      <c r="H90" s="5"/>
    </row>
    <row r="91" customFormat="false" ht="15" hidden="false" customHeight="false" outlineLevel="0" collapsed="false">
      <c r="A91" s="16" t="s">
        <v>147</v>
      </c>
      <c r="B91" s="16" t="s">
        <v>153</v>
      </c>
      <c r="C91" s="17"/>
      <c r="D91" s="18"/>
      <c r="E91" s="18"/>
      <c r="F91" s="19"/>
      <c r="G91" s="2" t="str">
        <f aca="false">IF(E91="","à relever",IF(E91&gt;Paramètres!$B$9,"AU-DESSUS du seuil","OK"))</f>
        <v>à relever</v>
      </c>
      <c r="H91" s="5"/>
    </row>
    <row r="92" customFormat="false" ht="15" hidden="false" customHeight="false" outlineLevel="0" collapsed="false">
      <c r="A92" s="16" t="s">
        <v>147</v>
      </c>
      <c r="B92" s="16" t="s">
        <v>154</v>
      </c>
      <c r="C92" s="17"/>
      <c r="D92" s="18"/>
      <c r="E92" s="18"/>
      <c r="F92" s="19"/>
      <c r="G92" s="2" t="str">
        <f aca="false">IF(E92="","à relever",IF(E92&gt;Paramètres!$B$9,"AU-DESSUS du seuil","OK"))</f>
        <v>à relever</v>
      </c>
      <c r="H92" s="5"/>
    </row>
    <row r="93" customFormat="false" ht="15" hidden="false" customHeight="false" outlineLevel="0" collapsed="false">
      <c r="A93" s="16" t="s">
        <v>147</v>
      </c>
      <c r="B93" s="16" t="s">
        <v>155</v>
      </c>
      <c r="C93" s="17"/>
      <c r="D93" s="18"/>
      <c r="E93" s="18"/>
      <c r="F93" s="19"/>
      <c r="G93" s="2" t="str">
        <f aca="false">IF(E93="","à relever",IF(E93&gt;Paramètres!$B$9,"AU-DESSUS du seuil","OK"))</f>
        <v>à relever</v>
      </c>
      <c r="H93" s="5"/>
    </row>
    <row r="94" customFormat="false" ht="15" hidden="false" customHeight="false" outlineLevel="0" collapsed="false">
      <c r="A94" s="16" t="s">
        <v>147</v>
      </c>
      <c r="B94" s="16" t="s">
        <v>156</v>
      </c>
      <c r="C94" s="17"/>
      <c r="D94" s="18"/>
      <c r="E94" s="18"/>
      <c r="F94" s="19"/>
      <c r="G94" s="2" t="str">
        <f aca="false">IF(E94="","à relever",IF(E94&gt;Paramètres!$B$9,"AU-DESSUS du seuil","OK"))</f>
        <v>à relever</v>
      </c>
      <c r="H94" s="5"/>
    </row>
    <row r="95" customFormat="false" ht="15" hidden="false" customHeight="false" outlineLevel="0" collapsed="false">
      <c r="A95" s="16" t="s">
        <v>147</v>
      </c>
      <c r="B95" s="16" t="s">
        <v>157</v>
      </c>
      <c r="C95" s="17"/>
      <c r="D95" s="18"/>
      <c r="E95" s="18"/>
      <c r="F95" s="19"/>
      <c r="G95" s="2" t="str">
        <f aca="false">IF(E95="","à relever",IF(E95&gt;Paramètres!$B$9,"AU-DESSUS du seuil","OK"))</f>
        <v>à relever</v>
      </c>
      <c r="H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</row>
    <row r="97" customFormat="false" ht="15" hidden="false" customHeight="false" outlineLevel="0" collapsed="false">
      <c r="A97" s="4" t="s">
        <v>158</v>
      </c>
      <c r="B97" s="5"/>
      <c r="C97" s="5"/>
      <c r="D97" s="5"/>
      <c r="E97" s="5"/>
      <c r="F97" s="5"/>
      <c r="G97" s="5"/>
      <c r="H9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8" min="2" style="0" width="14"/>
    <col collapsed="false" customWidth="true" hidden="false" outlineLevel="0" max="19" min="19" style="0" width="30"/>
  </cols>
  <sheetData>
    <row r="1" customFormat="false" ht="17.35" hidden="false" customHeight="false" outlineLevel="0" collapsed="false">
      <c r="A1" s="1" t="s">
        <v>159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customFormat="false" ht="15" hidden="false" customHeight="false" outlineLevel="0" collapsed="false">
      <c r="A2" s="4" t="s">
        <v>160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customFormat="false" ht="60" hidden="false" customHeight="true" outlineLevel="0" collapsed="false">
      <c r="A4" s="15" t="s">
        <v>51</v>
      </c>
      <c r="B4" s="15" t="s">
        <v>161</v>
      </c>
      <c r="C4" s="15" t="s">
        <v>162</v>
      </c>
      <c r="D4" s="15" t="s">
        <v>163</v>
      </c>
      <c r="E4" s="15" t="s">
        <v>164</v>
      </c>
      <c r="F4" s="15" t="s">
        <v>165</v>
      </c>
      <c r="G4" s="15" t="s">
        <v>166</v>
      </c>
      <c r="H4" s="15" t="s">
        <v>167</v>
      </c>
      <c r="I4" s="15" t="s">
        <v>168</v>
      </c>
      <c r="J4" s="15" t="s">
        <v>169</v>
      </c>
      <c r="K4" s="15" t="s">
        <v>170</v>
      </c>
      <c r="L4" s="15" t="s">
        <v>171</v>
      </c>
      <c r="M4" s="15" t="s">
        <v>172</v>
      </c>
      <c r="N4" s="15" t="s">
        <v>173</v>
      </c>
      <c r="O4" s="15" t="s">
        <v>174</v>
      </c>
      <c r="P4" s="15" t="s">
        <v>175</v>
      </c>
      <c r="Q4" s="15" t="s">
        <v>176</v>
      </c>
      <c r="R4" s="15" t="s">
        <v>177</v>
      </c>
      <c r="S4" s="15" t="s">
        <v>178</v>
      </c>
    </row>
    <row r="5" customFormat="false" ht="15" hidden="false" customHeight="false" outlineLevel="0" collapsed="false">
      <c r="A5" s="16" t="s">
        <v>59</v>
      </c>
      <c r="B5" s="10" t="n">
        <v>99</v>
      </c>
      <c r="C5" s="11"/>
      <c r="D5" s="11"/>
      <c r="E5" s="16" t="s">
        <v>179</v>
      </c>
      <c r="F5" s="16" t="n">
        <v>1</v>
      </c>
      <c r="G5" s="20" t="str">
        <f aca="false">IF(COUNTIFS('Mots-clés'!$A$5:$A$95,A5,'Mots-clés'!$E$5:$E$95,"&gt;0")=0,"",AVERAGEIFS('Mots-clés'!$E$5:$E$95,'Mots-clés'!$A$5:$A$95,A5,'Mots-clés'!$E$5:$E$95,"&gt;0"))</f>
        <v/>
      </c>
      <c r="H5" s="21" t="str">
        <f aca="false">IF(COUNTIFS('Mots-clés'!$A$5:$A$95,A5,'Mots-clés'!$C$5:$C$95,"&gt;0")=0,"",SUMIFS('Mots-clés'!$C$5:$C$95,'Mots-clés'!$A$5:$A$95,A5))</f>
        <v/>
      </c>
      <c r="I5" s="13" t="n">
        <f aca="false">B5/(1+Paramètres!$B$4)</f>
        <v>81.8181818181818</v>
      </c>
      <c r="J5" s="13" t="n">
        <f aca="false">B5*Paramètres!$B$5+Paramètres!$B$6</f>
        <v>1.735</v>
      </c>
      <c r="K5" s="13" t="n">
        <f aca="false">IF(E5="OUI",F5*Paramètres!$B$12+Paramètres!$B$13,0)</f>
        <v>0</v>
      </c>
      <c r="L5" s="13" t="str">
        <f aca="false">IF(OR(C5="",D5=""),"à renseigner",I5-C5-D5-J5-K5)</f>
        <v>à renseigner</v>
      </c>
      <c r="M5" s="13" t="n">
        <f aca="false">I5-J5-K5-Paramètres!$B$10</f>
        <v>40.0831818181818</v>
      </c>
      <c r="N5" s="13" t="n">
        <f aca="false">I5-J5-K5-Paramètres!$B$11</f>
        <v>45.0831818181818</v>
      </c>
      <c r="O5" s="13" t="str">
        <f aca="false">L5</f>
        <v>à renseigner</v>
      </c>
      <c r="P5" s="22" t="str">
        <f aca="false">IF(ISNUMBER(L5),IF(L5&gt;0,Paramètres!$B$7/L5,"marge ≤ 0"),"")</f>
        <v/>
      </c>
      <c r="Q5" s="23" t="str">
        <f aca="false">IF(ISNUMBER(L5),IF(L5&gt;0,Paramètres!$B$8/L5,"marge ≤ 0"),"")</f>
        <v/>
      </c>
      <c r="R5" s="13" t="str">
        <f aca="false">IF(ISNUMBER(L5),L5-B5*Paramètres!$B$14,"")</f>
        <v/>
      </c>
      <c r="S5" s="2" t="str">
        <f aca="false">IF(G5="","Enchères à relever",IF(G5&gt;Paramètres!$B$9,"ÉLIMINÉ : enchère &gt; seuil",IF(NOT(ISNUMBER(L5)),"Coûts fournisseur à relever",IF(L5&gt;=Paramètres!$B$10,"OK marge ≥ 40 €",IF(L5&gt;=Paramètres!$B$11,"Limite : marge 35–40 €","ÉLIMINÉ : marge &lt; 35 €")))))</f>
        <v>Enchères à relever</v>
      </c>
    </row>
    <row r="6" customFormat="false" ht="15" hidden="false" customHeight="false" outlineLevel="0" collapsed="false">
      <c r="A6" s="16" t="s">
        <v>75</v>
      </c>
      <c r="B6" s="10" t="n">
        <v>89</v>
      </c>
      <c r="C6" s="11"/>
      <c r="D6" s="11"/>
      <c r="E6" s="16" t="s">
        <v>179</v>
      </c>
      <c r="F6" s="16" t="n">
        <v>1</v>
      </c>
      <c r="G6" s="20" t="str">
        <f aca="false">IF(COUNTIFS('Mots-clés'!$A$5:$A$95,A6,'Mots-clés'!$E$5:$E$95,"&gt;0")=0,"",AVERAGEIFS('Mots-clés'!$E$5:$E$95,'Mots-clés'!$A$5:$A$95,A6,'Mots-clés'!$E$5:$E$95,"&gt;0"))</f>
        <v/>
      </c>
      <c r="H6" s="21" t="str">
        <f aca="false">IF(COUNTIFS('Mots-clés'!$A$5:$A$95,A6,'Mots-clés'!$C$5:$C$95,"&gt;0")=0,"",SUMIFS('Mots-clés'!$C$5:$C$95,'Mots-clés'!$A$5:$A$95,A6))</f>
        <v/>
      </c>
      <c r="I6" s="13" t="n">
        <f aca="false">B6/(1+Paramètres!$B$4)</f>
        <v>73.5537190082645</v>
      </c>
      <c r="J6" s="13" t="n">
        <f aca="false">B6*Paramètres!$B$5+Paramètres!$B$6</f>
        <v>1.585</v>
      </c>
      <c r="K6" s="13" t="n">
        <f aca="false">IF(E6="OUI",F6*Paramètres!$B$12+Paramètres!$B$13,0)</f>
        <v>0</v>
      </c>
      <c r="L6" s="13" t="str">
        <f aca="false">IF(OR(C6="",D6=""),"à renseigner",I6-C6-D6-J6-K6)</f>
        <v>à renseigner</v>
      </c>
      <c r="M6" s="13" t="n">
        <f aca="false">I6-J6-K6-Paramètres!$B$10</f>
        <v>31.9687190082645</v>
      </c>
      <c r="N6" s="13" t="n">
        <f aca="false">I6-J6-K6-Paramètres!$B$11</f>
        <v>36.9687190082645</v>
      </c>
      <c r="O6" s="13" t="str">
        <f aca="false">L6</f>
        <v>à renseigner</v>
      </c>
      <c r="P6" s="22" t="str">
        <f aca="false">IF(ISNUMBER(L6),IF(L6&gt;0,Paramètres!$B$7/L6,"marge ≤ 0"),"")</f>
        <v/>
      </c>
      <c r="Q6" s="23" t="str">
        <f aca="false">IF(ISNUMBER(L6),IF(L6&gt;0,Paramètres!$B$8/L6,"marge ≤ 0"),"")</f>
        <v/>
      </c>
      <c r="R6" s="13" t="str">
        <f aca="false">IF(ISNUMBER(L6),L6-B6*Paramètres!$B$14,"")</f>
        <v/>
      </c>
      <c r="S6" s="2" t="str">
        <f aca="false">IF(G6="","Enchères à relever",IF(G6&gt;Paramètres!$B$9,"ÉLIMINÉ : enchère &gt; seuil",IF(NOT(ISNUMBER(L6)),"Coûts fournisseur à relever",IF(L6&gt;=Paramètres!$B$10,"OK marge ≥ 40 €",IF(L6&gt;=Paramètres!$B$11,"Limite : marge 35–40 €","ÉLIMINÉ : marge &lt; 35 €")))))</f>
        <v>Enchères à relever</v>
      </c>
    </row>
    <row r="7" customFormat="false" ht="15" hidden="false" customHeight="false" outlineLevel="0" collapsed="false">
      <c r="A7" s="16" t="s">
        <v>88</v>
      </c>
      <c r="B7" s="10" t="n">
        <v>79</v>
      </c>
      <c r="C7" s="11"/>
      <c r="D7" s="11"/>
      <c r="E7" s="16" t="s">
        <v>179</v>
      </c>
      <c r="F7" s="16" t="n">
        <v>1</v>
      </c>
      <c r="G7" s="20" t="str">
        <f aca="false">IF(COUNTIFS('Mots-clés'!$A$5:$A$95,A7,'Mots-clés'!$E$5:$E$95,"&gt;0")=0,"",AVERAGEIFS('Mots-clés'!$E$5:$E$95,'Mots-clés'!$A$5:$A$95,A7,'Mots-clés'!$E$5:$E$95,"&gt;0"))</f>
        <v/>
      </c>
      <c r="H7" s="21" t="str">
        <f aca="false">IF(COUNTIFS('Mots-clés'!$A$5:$A$95,A7,'Mots-clés'!$C$5:$C$95,"&gt;0")=0,"",SUMIFS('Mots-clés'!$C$5:$C$95,'Mots-clés'!$A$5:$A$95,A7))</f>
        <v/>
      </c>
      <c r="I7" s="13" t="n">
        <f aca="false">B7/(1+Paramètres!$B$4)</f>
        <v>65.2892561983471</v>
      </c>
      <c r="J7" s="13" t="n">
        <f aca="false">B7*Paramètres!$B$5+Paramètres!$B$6</f>
        <v>1.435</v>
      </c>
      <c r="K7" s="13" t="n">
        <f aca="false">IF(E7="OUI",F7*Paramètres!$B$12+Paramètres!$B$13,0)</f>
        <v>0</v>
      </c>
      <c r="L7" s="13" t="str">
        <f aca="false">IF(OR(C7="",D7=""),"à renseigner",I7-C7-D7-J7-K7)</f>
        <v>à renseigner</v>
      </c>
      <c r="M7" s="13" t="n">
        <f aca="false">I7-J7-K7-Paramètres!$B$10</f>
        <v>23.8542561983471</v>
      </c>
      <c r="N7" s="13" t="n">
        <f aca="false">I7-J7-K7-Paramètres!$B$11</f>
        <v>28.8542561983471</v>
      </c>
      <c r="O7" s="13" t="str">
        <f aca="false">L7</f>
        <v>à renseigner</v>
      </c>
      <c r="P7" s="22" t="str">
        <f aca="false">IF(ISNUMBER(L7),IF(L7&gt;0,Paramètres!$B$7/L7,"marge ≤ 0"),"")</f>
        <v/>
      </c>
      <c r="Q7" s="23" t="str">
        <f aca="false">IF(ISNUMBER(L7),IF(L7&gt;0,Paramètres!$B$8/L7,"marge ≤ 0"),"")</f>
        <v/>
      </c>
      <c r="R7" s="13" t="str">
        <f aca="false">IF(ISNUMBER(L7),L7-B7*Paramètres!$B$14,"")</f>
        <v/>
      </c>
      <c r="S7" s="2" t="str">
        <f aca="false">IF(G7="","Enchères à relever",IF(G7&gt;Paramètres!$B$9,"ÉLIMINÉ : enchère &gt; seuil",IF(NOT(ISNUMBER(L7)),"Coûts fournisseur à relever",IF(L7&gt;=Paramètres!$B$10,"OK marge ≥ 40 €",IF(L7&gt;=Paramètres!$B$11,"Limite : marge 35–40 €","ÉLIMINÉ : marge &lt; 35 €")))))</f>
        <v>Enchères à relever</v>
      </c>
    </row>
    <row r="8" customFormat="false" ht="15" hidden="false" customHeight="false" outlineLevel="0" collapsed="false">
      <c r="A8" s="16" t="s">
        <v>101</v>
      </c>
      <c r="B8" s="10" t="n">
        <v>119</v>
      </c>
      <c r="C8" s="11"/>
      <c r="D8" s="11"/>
      <c r="E8" s="16" t="s">
        <v>179</v>
      </c>
      <c r="F8" s="16" t="n">
        <v>1</v>
      </c>
      <c r="G8" s="20" t="str">
        <f aca="false">IF(COUNTIFS('Mots-clés'!$A$5:$A$95,A8,'Mots-clés'!$E$5:$E$95,"&gt;0")=0,"",AVERAGEIFS('Mots-clés'!$E$5:$E$95,'Mots-clés'!$A$5:$A$95,A8,'Mots-clés'!$E$5:$E$95,"&gt;0"))</f>
        <v/>
      </c>
      <c r="H8" s="21" t="str">
        <f aca="false">IF(COUNTIFS('Mots-clés'!$A$5:$A$95,A8,'Mots-clés'!$C$5:$C$95,"&gt;0")=0,"",SUMIFS('Mots-clés'!$C$5:$C$95,'Mots-clés'!$A$5:$A$95,A8))</f>
        <v/>
      </c>
      <c r="I8" s="13" t="n">
        <f aca="false">B8/(1+Paramètres!$B$4)</f>
        <v>98.3471074380165</v>
      </c>
      <c r="J8" s="13" t="n">
        <f aca="false">B8*Paramètres!$B$5+Paramètres!$B$6</f>
        <v>2.035</v>
      </c>
      <c r="K8" s="13" t="n">
        <f aca="false">IF(E8="OUI",F8*Paramètres!$B$12+Paramètres!$B$13,0)</f>
        <v>0</v>
      </c>
      <c r="L8" s="13" t="str">
        <f aca="false">IF(OR(C8="",D8=""),"à renseigner",I8-C8-D8-J8-K8)</f>
        <v>à renseigner</v>
      </c>
      <c r="M8" s="13" t="n">
        <f aca="false">I8-J8-K8-Paramètres!$B$10</f>
        <v>56.3121074380165</v>
      </c>
      <c r="N8" s="13" t="n">
        <f aca="false">I8-J8-K8-Paramètres!$B$11</f>
        <v>61.3121074380165</v>
      </c>
      <c r="O8" s="13" t="str">
        <f aca="false">L8</f>
        <v>à renseigner</v>
      </c>
      <c r="P8" s="22" t="str">
        <f aca="false">IF(ISNUMBER(L8),IF(L8&gt;0,Paramètres!$B$7/L8,"marge ≤ 0"),"")</f>
        <v/>
      </c>
      <c r="Q8" s="23" t="str">
        <f aca="false">IF(ISNUMBER(L8),IF(L8&gt;0,Paramètres!$B$8/L8,"marge ≤ 0"),"")</f>
        <v/>
      </c>
      <c r="R8" s="13" t="str">
        <f aca="false">IF(ISNUMBER(L8),L8-B8*Paramètres!$B$14,"")</f>
        <v/>
      </c>
      <c r="S8" s="2" t="str">
        <f aca="false">IF(G8="","Enchères à relever",IF(G8&gt;Paramètres!$B$9,"ÉLIMINÉ : enchère &gt; seuil",IF(NOT(ISNUMBER(L8)),"Coûts fournisseur à relever",IF(L8&gt;=Paramètres!$B$10,"OK marge ≥ 40 €",IF(L8&gt;=Paramètres!$B$11,"Limite : marge 35–40 €","ÉLIMINÉ : marge &lt; 35 €")))))</f>
        <v>Enchères à relever</v>
      </c>
    </row>
    <row r="9" customFormat="false" ht="15" hidden="false" customHeight="false" outlineLevel="0" collapsed="false">
      <c r="A9" s="16" t="s">
        <v>113</v>
      </c>
      <c r="B9" s="10" t="n">
        <v>119</v>
      </c>
      <c r="C9" s="11"/>
      <c r="D9" s="11"/>
      <c r="E9" s="16" t="s">
        <v>179</v>
      </c>
      <c r="F9" s="16" t="n">
        <v>1</v>
      </c>
      <c r="G9" s="20" t="str">
        <f aca="false">IF(COUNTIFS('Mots-clés'!$A$5:$A$95,A9,'Mots-clés'!$E$5:$E$95,"&gt;0")=0,"",AVERAGEIFS('Mots-clés'!$E$5:$E$95,'Mots-clés'!$A$5:$A$95,A9,'Mots-clés'!$E$5:$E$95,"&gt;0"))</f>
        <v/>
      </c>
      <c r="H9" s="21" t="str">
        <f aca="false">IF(COUNTIFS('Mots-clés'!$A$5:$A$95,A9,'Mots-clés'!$C$5:$C$95,"&gt;0")=0,"",SUMIFS('Mots-clés'!$C$5:$C$95,'Mots-clés'!$A$5:$A$95,A9))</f>
        <v/>
      </c>
      <c r="I9" s="13" t="n">
        <f aca="false">B9/(1+Paramètres!$B$4)</f>
        <v>98.3471074380165</v>
      </c>
      <c r="J9" s="13" t="n">
        <f aca="false">B9*Paramètres!$B$5+Paramètres!$B$6</f>
        <v>2.035</v>
      </c>
      <c r="K9" s="13" t="n">
        <f aca="false">IF(E9="OUI",F9*Paramètres!$B$12+Paramètres!$B$13,0)</f>
        <v>0</v>
      </c>
      <c r="L9" s="13" t="str">
        <f aca="false">IF(OR(C9="",D9=""),"à renseigner",I9-C9-D9-J9-K9)</f>
        <v>à renseigner</v>
      </c>
      <c r="M9" s="13" t="n">
        <f aca="false">I9-J9-K9-Paramètres!$B$10</f>
        <v>56.3121074380165</v>
      </c>
      <c r="N9" s="13" t="n">
        <f aca="false">I9-J9-K9-Paramètres!$B$11</f>
        <v>61.3121074380165</v>
      </c>
      <c r="O9" s="13" t="str">
        <f aca="false">L9</f>
        <v>à renseigner</v>
      </c>
      <c r="P9" s="22" t="str">
        <f aca="false">IF(ISNUMBER(L9),IF(L9&gt;0,Paramètres!$B$7/L9,"marge ≤ 0"),"")</f>
        <v/>
      </c>
      <c r="Q9" s="23" t="str">
        <f aca="false">IF(ISNUMBER(L9),IF(L9&gt;0,Paramètres!$B$8/L9,"marge ≤ 0"),"")</f>
        <v/>
      </c>
      <c r="R9" s="13" t="str">
        <f aca="false">IF(ISNUMBER(L9),L9-B9*Paramètres!$B$14,"")</f>
        <v/>
      </c>
      <c r="S9" s="2" t="str">
        <f aca="false">IF(G9="","Enchères à relever",IF(G9&gt;Paramètres!$B$9,"ÉLIMINÉ : enchère &gt; seuil",IF(NOT(ISNUMBER(L9)),"Coûts fournisseur à relever",IF(L9&gt;=Paramètres!$B$10,"OK marge ≥ 40 €",IF(L9&gt;=Paramètres!$B$11,"Limite : marge 35–40 €","ÉLIMINÉ : marge &lt; 35 €")))))</f>
        <v>Enchères à relever</v>
      </c>
    </row>
    <row r="10" customFormat="false" ht="15" hidden="false" customHeight="false" outlineLevel="0" collapsed="false">
      <c r="A10" s="16" t="s">
        <v>125</v>
      </c>
      <c r="B10" s="10" t="n">
        <v>99</v>
      </c>
      <c r="C10" s="11"/>
      <c r="D10" s="11"/>
      <c r="E10" s="16" t="s">
        <v>179</v>
      </c>
      <c r="F10" s="16" t="n">
        <v>1</v>
      </c>
      <c r="G10" s="20" t="str">
        <f aca="false">IF(COUNTIFS('Mots-clés'!$A$5:$A$95,A10,'Mots-clés'!$E$5:$E$95,"&gt;0")=0,"",AVERAGEIFS('Mots-clés'!$E$5:$E$95,'Mots-clés'!$A$5:$A$95,A10,'Mots-clés'!$E$5:$E$95,"&gt;0"))</f>
        <v/>
      </c>
      <c r="H10" s="21" t="str">
        <f aca="false">IF(COUNTIFS('Mots-clés'!$A$5:$A$95,A10,'Mots-clés'!$C$5:$C$95,"&gt;0")=0,"",SUMIFS('Mots-clés'!$C$5:$C$95,'Mots-clés'!$A$5:$A$95,A10))</f>
        <v/>
      </c>
      <c r="I10" s="13" t="n">
        <f aca="false">B10/(1+Paramètres!$B$4)</f>
        <v>81.8181818181818</v>
      </c>
      <c r="J10" s="13" t="n">
        <f aca="false">B10*Paramètres!$B$5+Paramètres!$B$6</f>
        <v>1.735</v>
      </c>
      <c r="K10" s="13" t="n">
        <f aca="false">IF(E10="OUI",F10*Paramètres!$B$12+Paramètres!$B$13,0)</f>
        <v>0</v>
      </c>
      <c r="L10" s="13" t="str">
        <f aca="false">IF(OR(C10="",D10=""),"à renseigner",I10-C10-D10-J10-K10)</f>
        <v>à renseigner</v>
      </c>
      <c r="M10" s="13" t="n">
        <f aca="false">I10-J10-K10-Paramètres!$B$10</f>
        <v>40.0831818181818</v>
      </c>
      <c r="N10" s="13" t="n">
        <f aca="false">I10-J10-K10-Paramètres!$B$11</f>
        <v>45.0831818181818</v>
      </c>
      <c r="O10" s="13" t="str">
        <f aca="false">L10</f>
        <v>à renseigner</v>
      </c>
      <c r="P10" s="22" t="str">
        <f aca="false">IF(ISNUMBER(L10),IF(L10&gt;0,Paramètres!$B$7/L10,"marge ≤ 0"),"")</f>
        <v/>
      </c>
      <c r="Q10" s="23" t="str">
        <f aca="false">IF(ISNUMBER(L10),IF(L10&gt;0,Paramètres!$B$8/L10,"marge ≤ 0"),"")</f>
        <v/>
      </c>
      <c r="R10" s="13" t="str">
        <f aca="false">IF(ISNUMBER(L10),L10-B10*Paramètres!$B$14,"")</f>
        <v/>
      </c>
      <c r="S10" s="2" t="str">
        <f aca="false">IF(G10="","Enchères à relever",IF(G10&gt;Paramètres!$B$9,"ÉLIMINÉ : enchère &gt; seuil",IF(NOT(ISNUMBER(L10)),"Coûts fournisseur à relever",IF(L10&gt;=Paramètres!$B$10,"OK marge ≥ 40 €",IF(L10&gt;=Paramètres!$B$11,"Limite : marge 35–40 €","ÉLIMINÉ : marge &lt; 35 €")))))</f>
        <v>Enchères à relever</v>
      </c>
    </row>
    <row r="11" customFormat="false" ht="15" hidden="false" customHeight="false" outlineLevel="0" collapsed="false">
      <c r="A11" s="16" t="s">
        <v>136</v>
      </c>
      <c r="B11" s="10" t="n">
        <v>119</v>
      </c>
      <c r="C11" s="11"/>
      <c r="D11" s="11"/>
      <c r="E11" s="16" t="s">
        <v>179</v>
      </c>
      <c r="F11" s="16" t="n">
        <v>1</v>
      </c>
      <c r="G11" s="20" t="str">
        <f aca="false">IF(COUNTIFS('Mots-clés'!$A$5:$A$95,A11,'Mots-clés'!$E$5:$E$95,"&gt;0")=0,"",AVERAGEIFS('Mots-clés'!$E$5:$E$95,'Mots-clés'!$A$5:$A$95,A11,'Mots-clés'!$E$5:$E$95,"&gt;0"))</f>
        <v/>
      </c>
      <c r="H11" s="21" t="str">
        <f aca="false">IF(COUNTIFS('Mots-clés'!$A$5:$A$95,A11,'Mots-clés'!$C$5:$C$95,"&gt;0")=0,"",SUMIFS('Mots-clés'!$C$5:$C$95,'Mots-clés'!$A$5:$A$95,A11))</f>
        <v/>
      </c>
      <c r="I11" s="13" t="n">
        <f aca="false">B11/(1+Paramètres!$B$4)</f>
        <v>98.3471074380165</v>
      </c>
      <c r="J11" s="13" t="n">
        <f aca="false">B11*Paramètres!$B$5+Paramètres!$B$6</f>
        <v>2.035</v>
      </c>
      <c r="K11" s="13" t="n">
        <f aca="false">IF(E11="OUI",F11*Paramètres!$B$12+Paramètres!$B$13,0)</f>
        <v>0</v>
      </c>
      <c r="L11" s="13" t="str">
        <f aca="false">IF(OR(C11="",D11=""),"à renseigner",I11-C11-D11-J11-K11)</f>
        <v>à renseigner</v>
      </c>
      <c r="M11" s="13" t="n">
        <f aca="false">I11-J11-K11-Paramètres!$B$10</f>
        <v>56.3121074380165</v>
      </c>
      <c r="N11" s="13" t="n">
        <f aca="false">I11-J11-K11-Paramètres!$B$11</f>
        <v>61.3121074380165</v>
      </c>
      <c r="O11" s="13" t="str">
        <f aca="false">L11</f>
        <v>à renseigner</v>
      </c>
      <c r="P11" s="22" t="str">
        <f aca="false">IF(ISNUMBER(L11),IF(L11&gt;0,Paramètres!$B$7/L11,"marge ≤ 0"),"")</f>
        <v/>
      </c>
      <c r="Q11" s="23" t="str">
        <f aca="false">IF(ISNUMBER(L11),IF(L11&gt;0,Paramètres!$B$8/L11,"marge ≤ 0"),"")</f>
        <v/>
      </c>
      <c r="R11" s="13" t="str">
        <f aca="false">IF(ISNUMBER(L11),L11-B11*Paramètres!$B$14,"")</f>
        <v/>
      </c>
      <c r="S11" s="2" t="str">
        <f aca="false">IF(G11="","Enchères à relever",IF(G11&gt;Paramètres!$B$9,"ÉLIMINÉ : enchère &gt; seuil",IF(NOT(ISNUMBER(L11)),"Coûts fournisseur à relever",IF(L11&gt;=Paramètres!$B$10,"OK marge ≥ 40 €",IF(L11&gt;=Paramètres!$B$11,"Limite : marge 35–40 €","ÉLIMINÉ : marge &lt; 35 €")))))</f>
        <v>Enchères à relever</v>
      </c>
    </row>
    <row r="12" customFormat="false" ht="15" hidden="false" customHeight="false" outlineLevel="0" collapsed="false">
      <c r="A12" s="16" t="s">
        <v>147</v>
      </c>
      <c r="B12" s="10" t="n">
        <v>79</v>
      </c>
      <c r="C12" s="11"/>
      <c r="D12" s="11"/>
      <c r="E12" s="16" t="s">
        <v>179</v>
      </c>
      <c r="F12" s="16" t="n">
        <v>1</v>
      </c>
      <c r="G12" s="20" t="str">
        <f aca="false">IF(COUNTIFS('Mots-clés'!$A$5:$A$95,A12,'Mots-clés'!$E$5:$E$95,"&gt;0")=0,"",AVERAGEIFS('Mots-clés'!$E$5:$E$95,'Mots-clés'!$A$5:$A$95,A12,'Mots-clés'!$E$5:$E$95,"&gt;0"))</f>
        <v/>
      </c>
      <c r="H12" s="21" t="str">
        <f aca="false">IF(COUNTIFS('Mots-clés'!$A$5:$A$95,A12,'Mots-clés'!$C$5:$C$95,"&gt;0")=0,"",SUMIFS('Mots-clés'!$C$5:$C$95,'Mots-clés'!$A$5:$A$95,A12))</f>
        <v/>
      </c>
      <c r="I12" s="13" t="n">
        <f aca="false">B12/(1+Paramètres!$B$4)</f>
        <v>65.2892561983471</v>
      </c>
      <c r="J12" s="13" t="n">
        <f aca="false">B12*Paramètres!$B$5+Paramètres!$B$6</f>
        <v>1.435</v>
      </c>
      <c r="K12" s="13" t="n">
        <f aca="false">IF(E12="OUI",F12*Paramètres!$B$12+Paramètres!$B$13,0)</f>
        <v>0</v>
      </c>
      <c r="L12" s="13" t="str">
        <f aca="false">IF(OR(C12="",D12=""),"à renseigner",I12-C12-D12-J12-K12)</f>
        <v>à renseigner</v>
      </c>
      <c r="M12" s="13" t="n">
        <f aca="false">I12-J12-K12-Paramètres!$B$10</f>
        <v>23.8542561983471</v>
      </c>
      <c r="N12" s="13" t="n">
        <f aca="false">I12-J12-K12-Paramètres!$B$11</f>
        <v>28.8542561983471</v>
      </c>
      <c r="O12" s="13" t="str">
        <f aca="false">L12</f>
        <v>à renseigner</v>
      </c>
      <c r="P12" s="22" t="str">
        <f aca="false">IF(ISNUMBER(L12),IF(L12&gt;0,Paramètres!$B$7/L12,"marge ≤ 0"),"")</f>
        <v/>
      </c>
      <c r="Q12" s="23" t="str">
        <f aca="false">IF(ISNUMBER(L12),IF(L12&gt;0,Paramètres!$B$8/L12,"marge ≤ 0"),"")</f>
        <v/>
      </c>
      <c r="R12" s="13" t="str">
        <f aca="false">IF(ISNUMBER(L12),L12-B12*Paramètres!$B$14,"")</f>
        <v/>
      </c>
      <c r="S12" s="2" t="str">
        <f aca="false">IF(G12="","Enchères à relever",IF(G12&gt;Paramètres!$B$9,"ÉLIMINÉ : enchère &gt; seuil",IF(NOT(ISNUMBER(L12)),"Coûts fournisseur à relever",IF(L12&gt;=Paramètres!$B$10,"OK marge ≥ 40 €",IF(L12&gt;=Paramètres!$B$11,"Limite : marge 35–40 €","ÉLIMINÉ : marge &lt; 35 €")))))</f>
        <v>Enchères à relever</v>
      </c>
    </row>
    <row r="13" customFormat="false" ht="15" hidden="false" customHeight="false" outlineLevel="0" collapsed="false">
      <c r="A13" s="4" t="s">
        <v>180</v>
      </c>
      <c r="B13" s="24" t="n">
        <v>99</v>
      </c>
      <c r="C13" s="24" t="n">
        <v>30</v>
      </c>
      <c r="D13" s="24" t="n">
        <v>9</v>
      </c>
      <c r="E13" s="4" t="s">
        <v>179</v>
      </c>
      <c r="F13" s="4" t="n">
        <v>1</v>
      </c>
      <c r="G13" s="24" t="n">
        <v>0.85</v>
      </c>
      <c r="H13" s="25" t="n">
        <v>4000</v>
      </c>
      <c r="I13" s="24" t="n">
        <f aca="false">B13/(1+Paramètres!$B$4)</f>
        <v>81.8181818181818</v>
      </c>
      <c r="J13" s="24" t="n">
        <f aca="false">B13*Paramètres!$B$5+Paramètres!$B$6</f>
        <v>1.735</v>
      </c>
      <c r="K13" s="24" t="n">
        <f aca="false">IF(E13="OUI",F13*Paramètres!$B$12+Paramètres!$B$13,0)</f>
        <v>0</v>
      </c>
      <c r="L13" s="24" t="n">
        <f aca="false">IF(OR(C13="",D13=""),"à renseigner",I13-C13-D13-J13-K13)</f>
        <v>41.0831818181818</v>
      </c>
      <c r="M13" s="24" t="n">
        <f aca="false">I13-J13-K13-Paramètres!$B$10</f>
        <v>40.0831818181818</v>
      </c>
      <c r="N13" s="24" t="n">
        <f aca="false">I13-J13-K13-Paramètres!$B$11</f>
        <v>45.0831818181818</v>
      </c>
      <c r="O13" s="24" t="n">
        <f aca="false">L13</f>
        <v>41.0831818181818</v>
      </c>
      <c r="P13" s="26" t="n">
        <f aca="false">IF(ISNUMBER(L13),IF(L13&gt;0,Paramètres!$B$7/L13,"marge ≤ 0"),"")</f>
        <v>4.86817211201221</v>
      </c>
      <c r="Q13" s="27" t="n">
        <f aca="false">IF(ISNUMBER(L13),IF(L13&gt;0,Paramètres!$B$8/L13,"marge ≤ 0"),"")</f>
        <v>0.0158215593640397</v>
      </c>
      <c r="R13" s="24" t="n">
        <f aca="false">IF(ISNUMBER(L13),L13-B13*Paramètres!$B$14,"")</f>
        <v>36.1331818181818</v>
      </c>
      <c r="S13" s="4" t="str">
        <f aca="false">IF(G13="","Enchères à relever",IF(G13&gt;Paramètres!$B$9,"ÉLIMINÉ : enchère &gt; seuil",IF(NOT(ISNUMBER(L13)),"Coûts fournisseur à relever",IF(L13&gt;=Paramètres!$B$10,"OK marge ≥ 40 €",IF(L13&gt;=Paramètres!$B$11,"Limite : marge 35–40 €","ÉLIMINÉ : marge &lt; 35 €")))))</f>
        <v>OK marge ≥ 40 €</v>
      </c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customFormat="false" ht="15" hidden="false" customHeight="false" outlineLevel="0" collapsed="false">
      <c r="A15" s="4" t="s">
        <v>181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customFormat="false" ht="15" hidden="false" customHeight="false" outlineLevel="0" collapsed="false">
      <c r="A16" s="4" t="s">
        <v>182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customFormat="false" ht="15" hidden="false" customHeight="false" outlineLevel="0" collapsed="false">
      <c r="A17" s="4" t="s">
        <v>183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</sheetData>
  <conditionalFormatting sqref="S5:S13">
    <cfRule type="expression" priority="2" aboveAverage="0" equalAverage="0" bottom="0" percent="0" rank="0" text="" dxfId="0">
      <formula>LEFT(S5,7)="ÉLIMINÉ"</formula>
    </cfRule>
    <cfRule type="expression" priority="3" aboveAverage="0" equalAverage="0" bottom="0" percent="0" rank="0" text="" dxfId="1">
      <formula>LEFT(S5,2)="OK"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6" min="4" style="0" width="14"/>
  </cols>
  <sheetData>
    <row r="1" customFormat="false" ht="17.35" hidden="false" customHeight="false" outlineLevel="0" collapsed="false">
      <c r="A1" s="1" t="s">
        <v>184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4" t="s">
        <v>185</v>
      </c>
      <c r="B2" s="5"/>
      <c r="C2" s="5"/>
      <c r="D2" s="5"/>
      <c r="E2" s="5"/>
      <c r="F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</row>
    <row r="4" customFormat="false" ht="15" hidden="false" customHeight="false" outlineLevel="0" collapsed="false">
      <c r="A4" s="5" t="s">
        <v>186</v>
      </c>
      <c r="B4" s="28" t="n">
        <f aca="false">Paramètres!$B$10</f>
        <v>40</v>
      </c>
      <c r="C4" s="4" t="s">
        <v>187</v>
      </c>
      <c r="D4" s="5"/>
      <c r="E4" s="5"/>
      <c r="F4" s="5"/>
    </row>
    <row r="5" customFormat="false" ht="15" hidden="false" customHeight="false" outlineLevel="0" collapsed="false">
      <c r="A5" s="5" t="s">
        <v>188</v>
      </c>
      <c r="B5" s="28" t="n">
        <f aca="false">Paramètres!$B$8</f>
        <v>0.65</v>
      </c>
      <c r="C5" s="4" t="s">
        <v>189</v>
      </c>
      <c r="D5" s="5"/>
      <c r="E5" s="5"/>
      <c r="F5" s="5"/>
    </row>
    <row r="6" customFormat="false" ht="15" hidden="false" customHeight="false" outlineLevel="0" collapsed="false">
      <c r="A6" s="5" t="s">
        <v>161</v>
      </c>
      <c r="B6" s="11" t="n">
        <v>99</v>
      </c>
      <c r="C6" s="4" t="s">
        <v>190</v>
      </c>
      <c r="D6" s="5"/>
      <c r="E6" s="5"/>
      <c r="F6" s="5"/>
    </row>
    <row r="7" customFormat="false" ht="15" hidden="false" customHeight="false" outlineLevel="0" collapsed="false">
      <c r="A7" s="5" t="s">
        <v>191</v>
      </c>
      <c r="B7" s="20" t="n">
        <f aca="false">Paramètres!$B$7</f>
        <v>200</v>
      </c>
      <c r="C7" s="4" t="s">
        <v>192</v>
      </c>
      <c r="D7" s="5"/>
      <c r="E7" s="5"/>
      <c r="F7" s="5"/>
    </row>
    <row r="8" customFormat="false" ht="15" hidden="false" customHeight="false" outlineLevel="0" collapsed="false">
      <c r="A8" s="5" t="s">
        <v>176</v>
      </c>
      <c r="B8" s="23" t="n">
        <f aca="false">IF(B4&gt;0,B5/B4,0)</f>
        <v>0.01625</v>
      </c>
      <c r="C8" s="4" t="s">
        <v>193</v>
      </c>
      <c r="D8" s="5"/>
      <c r="E8" s="5"/>
      <c r="F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6" t="s">
        <v>194</v>
      </c>
      <c r="B10" s="6" t="s">
        <v>195</v>
      </c>
      <c r="C10" s="6" t="s">
        <v>196</v>
      </c>
      <c r="D10" s="6" t="s">
        <v>197</v>
      </c>
      <c r="E10" s="5"/>
      <c r="F10" s="5"/>
    </row>
    <row r="11" customFormat="false" ht="15" hidden="false" customHeight="false" outlineLevel="0" collapsed="false">
      <c r="A11" s="5" t="s">
        <v>198</v>
      </c>
      <c r="B11" s="9" t="n">
        <v>0.01</v>
      </c>
      <c r="C11" s="9" t="n">
        <v>0.015</v>
      </c>
      <c r="D11" s="9" t="n">
        <v>0.025</v>
      </c>
      <c r="E11" s="5"/>
      <c r="F11" s="5"/>
    </row>
    <row r="12" customFormat="false" ht="15" hidden="false" customHeight="false" outlineLevel="0" collapsed="false">
      <c r="A12" s="5" t="s">
        <v>199</v>
      </c>
      <c r="B12" s="14" t="n">
        <f aca="false">IF($B$5&gt;0,$B$7/$B$5,0)</f>
        <v>307.692307692308</v>
      </c>
      <c r="C12" s="14" t="n">
        <f aca="false">IF($B$5&gt;0,$B$7/$B$5,0)</f>
        <v>307.692307692308</v>
      </c>
      <c r="D12" s="14" t="n">
        <f aca="false">IF($B$5&gt;0,$B$7/$B$5,0)</f>
        <v>307.692307692308</v>
      </c>
      <c r="E12" s="5"/>
      <c r="F12" s="5"/>
    </row>
    <row r="13" customFormat="false" ht="15" hidden="false" customHeight="false" outlineLevel="0" collapsed="false">
      <c r="A13" s="5" t="s">
        <v>200</v>
      </c>
      <c r="B13" s="22" t="n">
        <f aca="false">B12*B11</f>
        <v>3.07692307692308</v>
      </c>
      <c r="C13" s="22" t="n">
        <f aca="false">C12*C11</f>
        <v>4.61538461538462</v>
      </c>
      <c r="D13" s="22" t="n">
        <f aca="false">D12*D11</f>
        <v>7.69230769230769</v>
      </c>
      <c r="E13" s="5"/>
      <c r="F13" s="5"/>
    </row>
    <row r="14" customFormat="false" ht="15" hidden="false" customHeight="false" outlineLevel="0" collapsed="false">
      <c r="A14" s="5" t="s">
        <v>201</v>
      </c>
      <c r="B14" s="13" t="n">
        <f aca="false">B13*$B$6</f>
        <v>304.615384615385</v>
      </c>
      <c r="C14" s="13" t="n">
        <f aca="false">C13*$B$6</f>
        <v>456.923076923077</v>
      </c>
      <c r="D14" s="13" t="n">
        <f aca="false">D13*$B$6</f>
        <v>761.538461538462</v>
      </c>
      <c r="E14" s="5"/>
      <c r="F14" s="5"/>
    </row>
    <row r="15" customFormat="false" ht="15" hidden="false" customHeight="false" outlineLevel="0" collapsed="false">
      <c r="A15" s="5" t="s">
        <v>202</v>
      </c>
      <c r="B15" s="13" t="n">
        <f aca="false">B13*$B$4</f>
        <v>123.076923076923</v>
      </c>
      <c r="C15" s="13" t="n">
        <f aca="false">C13*$B$4</f>
        <v>184.615384615385</v>
      </c>
      <c r="D15" s="13" t="n">
        <f aca="false">D13*$B$4</f>
        <v>307.692307692308</v>
      </c>
      <c r="E15" s="5"/>
      <c r="F15" s="5"/>
    </row>
    <row r="16" customFormat="false" ht="15" hidden="false" customHeight="false" outlineLevel="0" collapsed="false">
      <c r="A16" s="5" t="s">
        <v>203</v>
      </c>
      <c r="B16" s="13" t="n">
        <f aca="false">B15-$B$7</f>
        <v>-76.9230769230769</v>
      </c>
      <c r="C16" s="13" t="n">
        <f aca="false">C15-$B$7</f>
        <v>-15.3846153846154</v>
      </c>
      <c r="D16" s="13" t="n">
        <f aca="false">D15-$B$7</f>
        <v>107.692307692308</v>
      </c>
      <c r="E16" s="5"/>
      <c r="F16" s="5"/>
    </row>
    <row r="17" customFormat="false" ht="15" hidden="false" customHeight="false" outlineLevel="0" collapsed="false">
      <c r="A17" s="5" t="s">
        <v>204</v>
      </c>
      <c r="B17" s="13" t="n">
        <f aca="false">B16-Paramètres!$B$15-Paramètres!$B$16</f>
        <v>-142.923076923077</v>
      </c>
      <c r="C17" s="13" t="n">
        <f aca="false">C16-Paramètres!$B$15-Paramètres!$B$16</f>
        <v>-81.3846153846154</v>
      </c>
      <c r="D17" s="13" t="n">
        <f aca="false">D16-Paramètres!$B$15-Paramètres!$B$16</f>
        <v>41.6923076923077</v>
      </c>
      <c r="E17" s="5"/>
      <c r="F17" s="5"/>
    </row>
    <row r="18" customFormat="false" ht="15" hidden="false" customHeight="false" outlineLevel="0" collapsed="false">
      <c r="A18" s="5" t="s">
        <v>205</v>
      </c>
      <c r="B18" s="13" t="n">
        <f aca="false">IF(B13&gt;0,$B$7/B13,"")</f>
        <v>65</v>
      </c>
      <c r="C18" s="13" t="n">
        <f aca="false">IF(C13&gt;0,$B$7/C13,"")</f>
        <v>43.3333333333333</v>
      </c>
      <c r="D18" s="13" t="n">
        <f aca="false">IF(D13&gt;0,$B$7/D13,"")</f>
        <v>26</v>
      </c>
      <c r="E18" s="5"/>
      <c r="F18" s="5"/>
    </row>
    <row r="19" customFormat="false" ht="15" hidden="false" customHeight="false" outlineLevel="0" collapsed="false">
      <c r="A19" s="5" t="s">
        <v>206</v>
      </c>
      <c r="B19" s="29" t="n">
        <f aca="false">IF($B$7&gt;0,B14/$B$7,0)</f>
        <v>1.52307692307692</v>
      </c>
      <c r="C19" s="29" t="n">
        <f aca="false">IF($B$7&gt;0,C14/$B$7,0)</f>
        <v>2.28461538461538</v>
      </c>
      <c r="D19" s="29" t="n">
        <f aca="false">IF($B$7&gt;0,D14/$B$7,0)</f>
        <v>3.80769230769231</v>
      </c>
      <c r="E19" s="5"/>
      <c r="F19" s="5"/>
    </row>
    <row r="20" customFormat="false" ht="15" hidden="false" customHeight="false" outlineLevel="0" collapsed="false">
      <c r="A20" s="5" t="s">
        <v>207</v>
      </c>
      <c r="B20" s="14" t="n">
        <f aca="false">IF(B11&gt;0,1/B11,"")</f>
        <v>100</v>
      </c>
      <c r="C20" s="14" t="n">
        <f aca="false">IF(C11&gt;0,1/C11,"")</f>
        <v>66.6666666666667</v>
      </c>
      <c r="D20" s="14" t="n">
        <f aca="false">IF(D11&gt;0,1/D11,"")</f>
        <v>40</v>
      </c>
      <c r="E20" s="5"/>
      <c r="F20" s="5"/>
    </row>
    <row r="21" customFormat="false" ht="15" hidden="false" customHeight="false" outlineLevel="0" collapsed="false">
      <c r="A21" s="5" t="s">
        <v>208</v>
      </c>
      <c r="B21" s="23" t="n">
        <f aca="false">(1-B11)^100</f>
        <v>0.366032341273229</v>
      </c>
      <c r="C21" s="23" t="n">
        <f aca="false">(1-C11)^100</f>
        <v>0.220608910469387</v>
      </c>
      <c r="D21" s="23" t="n">
        <f aca="false">(1-D11)^100</f>
        <v>0.0795172898618314</v>
      </c>
      <c r="E21" s="5"/>
      <c r="F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</row>
    <row r="23" customFormat="false" ht="15" hidden="false" customHeight="false" outlineLevel="0" collapsed="false">
      <c r="A23" s="4" t="s">
        <v>209</v>
      </c>
      <c r="B23" s="5"/>
      <c r="C23" s="5"/>
      <c r="D23" s="5"/>
      <c r="E23" s="5"/>
      <c r="F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</row>
    <row r="25" customFormat="false" ht="15" hidden="false" customHeight="false" outlineLevel="0" collapsed="false">
      <c r="A25" s="3" t="s">
        <v>210</v>
      </c>
      <c r="B25" s="5"/>
      <c r="C25" s="5"/>
      <c r="D25" s="5"/>
      <c r="E25" s="5"/>
      <c r="F25" s="5"/>
    </row>
    <row r="26" customFormat="false" ht="15" hidden="false" customHeight="false" outlineLevel="0" collapsed="false">
      <c r="A26" s="6" t="s">
        <v>211</v>
      </c>
      <c r="B26" s="30" t="n">
        <v>0.01</v>
      </c>
      <c r="C26" s="30" t="n">
        <v>0.015</v>
      </c>
      <c r="D26" s="30" t="n">
        <v>0.02</v>
      </c>
      <c r="E26" s="30" t="n">
        <v>0.025</v>
      </c>
      <c r="F26" s="30" t="n">
        <v>0.03</v>
      </c>
    </row>
    <row r="27" customFormat="false" ht="15" hidden="false" customHeight="false" outlineLevel="0" collapsed="false">
      <c r="A27" s="10" t="n">
        <v>0.36</v>
      </c>
      <c r="B27" s="31" t="n">
        <f aca="false">IF($A27&gt;0,$B$7/$A27*B$26*$B$4-$B$7,0)</f>
        <v>22.2222222222222</v>
      </c>
      <c r="C27" s="31" t="n">
        <f aca="false">IF($A27&gt;0,$B$7/$A27*C$26*$B$4-$B$7,0)</f>
        <v>133.333333333333</v>
      </c>
      <c r="D27" s="31" t="n">
        <f aca="false">IF($A27&gt;0,$B$7/$A27*D$26*$B$4-$B$7,0)</f>
        <v>244.444444444444</v>
      </c>
      <c r="E27" s="31" t="n">
        <f aca="false">IF($A27&gt;0,$B$7/$A27*E$26*$B$4-$B$7,0)</f>
        <v>355.555555555556</v>
      </c>
      <c r="F27" s="31" t="n">
        <f aca="false">IF($A27&gt;0,$B$7/$A27*F$26*$B$4-$B$7,0)</f>
        <v>466.666666666667</v>
      </c>
    </row>
    <row r="28" customFormat="false" ht="15" hidden="false" customHeight="false" outlineLevel="0" collapsed="false">
      <c r="A28" s="10" t="n">
        <v>0.5</v>
      </c>
      <c r="B28" s="31" t="n">
        <f aca="false">IF($A28&gt;0,$B$7/$A28*B$26*$B$4-$B$7,0)</f>
        <v>-40</v>
      </c>
      <c r="C28" s="31" t="n">
        <f aca="false">IF($A28&gt;0,$B$7/$A28*C$26*$B$4-$B$7,0)</f>
        <v>40</v>
      </c>
      <c r="D28" s="31" t="n">
        <f aca="false">IF($A28&gt;0,$B$7/$A28*D$26*$B$4-$B$7,0)</f>
        <v>120</v>
      </c>
      <c r="E28" s="31" t="n">
        <f aca="false">IF($A28&gt;0,$B$7/$A28*E$26*$B$4-$B$7,0)</f>
        <v>200</v>
      </c>
      <c r="F28" s="31" t="n">
        <f aca="false">IF($A28&gt;0,$B$7/$A28*F$26*$B$4-$B$7,0)</f>
        <v>280</v>
      </c>
    </row>
    <row r="29" customFormat="false" ht="15" hidden="false" customHeight="false" outlineLevel="0" collapsed="false">
      <c r="A29" s="10" t="n">
        <v>0.65</v>
      </c>
      <c r="B29" s="31" t="n">
        <f aca="false">IF($A29&gt;0,$B$7/$A29*B$26*$B$4-$B$7,0)</f>
        <v>-76.9230769230769</v>
      </c>
      <c r="C29" s="31" t="n">
        <f aca="false">IF($A29&gt;0,$B$7/$A29*C$26*$B$4-$B$7,0)</f>
        <v>-15.3846153846154</v>
      </c>
      <c r="D29" s="31" t="n">
        <f aca="false">IF($A29&gt;0,$B$7/$A29*D$26*$B$4-$B$7,0)</f>
        <v>46.1538461538461</v>
      </c>
      <c r="E29" s="31" t="n">
        <f aca="false">IF($A29&gt;0,$B$7/$A29*E$26*$B$4-$B$7,0)</f>
        <v>107.692307692308</v>
      </c>
      <c r="F29" s="31" t="n">
        <f aca="false">IF($A29&gt;0,$B$7/$A29*F$26*$B$4-$B$7,0)</f>
        <v>169.230769230769</v>
      </c>
    </row>
    <row r="30" customFormat="false" ht="15" hidden="false" customHeight="false" outlineLevel="0" collapsed="false">
      <c r="A30" s="10" t="n">
        <v>0.8</v>
      </c>
      <c r="B30" s="31" t="n">
        <f aca="false">IF($A30&gt;0,$B$7/$A30*B$26*$B$4-$B$7,0)</f>
        <v>-100</v>
      </c>
      <c r="C30" s="31" t="n">
        <f aca="false">IF($A30&gt;0,$B$7/$A30*C$26*$B$4-$B$7,0)</f>
        <v>-50</v>
      </c>
      <c r="D30" s="31" t="n">
        <f aca="false">IF($A30&gt;0,$B$7/$A30*D$26*$B$4-$B$7,0)</f>
        <v>0</v>
      </c>
      <c r="E30" s="31" t="n">
        <f aca="false">IF($A30&gt;0,$B$7/$A30*E$26*$B$4-$B$7,0)</f>
        <v>50</v>
      </c>
      <c r="F30" s="31" t="n">
        <f aca="false">IF($A30&gt;0,$B$7/$A30*F$26*$B$4-$B$7,0)</f>
        <v>100</v>
      </c>
    </row>
    <row r="31" customFormat="false" ht="15" hidden="false" customHeight="false" outlineLevel="0" collapsed="false">
      <c r="A31" s="10" t="n">
        <v>1</v>
      </c>
      <c r="B31" s="31" t="n">
        <f aca="false">IF($A31&gt;0,$B$7/$A31*B$26*$B$4-$B$7,0)</f>
        <v>-120</v>
      </c>
      <c r="C31" s="31" t="n">
        <f aca="false">IF($A31&gt;0,$B$7/$A31*C$26*$B$4-$B$7,0)</f>
        <v>-80</v>
      </c>
      <c r="D31" s="31" t="n">
        <f aca="false">IF($A31&gt;0,$B$7/$A31*D$26*$B$4-$B$7,0)</f>
        <v>-40</v>
      </c>
      <c r="E31" s="31" t="n">
        <f aca="false">IF($A31&gt;0,$B$7/$A31*E$26*$B$4-$B$7,0)</f>
        <v>0</v>
      </c>
      <c r="F31" s="31" t="n">
        <f aca="false">IF($A31&gt;0,$B$7/$A31*F$26*$B$4-$B$7,0)</f>
        <v>40</v>
      </c>
    </row>
    <row r="32" customFormat="false" ht="15" hidden="false" customHeight="false" outlineLevel="0" collapsed="false">
      <c r="A32" s="10" t="n">
        <v>1.2</v>
      </c>
      <c r="B32" s="31" t="n">
        <f aca="false">IF($A32&gt;0,$B$7/$A32*B$26*$B$4-$B$7,0)</f>
        <v>-133.333333333333</v>
      </c>
      <c r="C32" s="31" t="n">
        <f aca="false">IF($A32&gt;0,$B$7/$A32*C$26*$B$4-$B$7,0)</f>
        <v>-100</v>
      </c>
      <c r="D32" s="31" t="n">
        <f aca="false">IF($A32&gt;0,$B$7/$A32*D$26*$B$4-$B$7,0)</f>
        <v>-66.6666666666666</v>
      </c>
      <c r="E32" s="31" t="n">
        <f aca="false">IF($A32&gt;0,$B$7/$A32*E$26*$B$4-$B$7,0)</f>
        <v>-33.3333333333333</v>
      </c>
      <c r="F32" s="31" t="n">
        <f aca="false">IF($A32&gt;0,$B$7/$A32*F$26*$B$4-$B$7,0)</f>
        <v>0</v>
      </c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</row>
    <row r="34" customFormat="false" ht="15" hidden="false" customHeight="false" outlineLevel="0" collapsed="false">
      <c r="A34" s="4" t="s">
        <v>212</v>
      </c>
      <c r="B34" s="5"/>
      <c r="C34" s="5"/>
      <c r="D34" s="5"/>
      <c r="E34" s="5"/>
      <c r="F34" s="5"/>
    </row>
  </sheetData>
  <conditionalFormatting sqref="B16:D17">
    <cfRule type="cellIs" priority="2" operator="lessThan" aboveAverage="0" equalAverage="0" bottom="0" percent="0" rank="0" text="" dxfId="2">
      <formula>0</formula>
    </cfRule>
  </conditionalFormatting>
  <conditionalFormatting sqref="B27:F32">
    <cfRule type="cellIs" priority="3" operator="lessThan" aboveAverage="0" equalAverage="0" bottom="0" percent="0" rank="0" text="" dxfId="3">
      <formula>0</formula>
    </cfRule>
    <cfRule type="cellIs" priority="4" operator="greaterThanOrEqual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213</v>
      </c>
      <c r="B1" s="5"/>
      <c r="C1" s="5"/>
      <c r="D1" s="5"/>
      <c r="E1" s="5"/>
      <c r="F1" s="5"/>
      <c r="G1" s="5"/>
    </row>
    <row r="2" customFormat="false" ht="15" hidden="false" customHeight="false" outlineLevel="0" collapsed="false">
      <c r="A2" s="4" t="s">
        <v>214</v>
      </c>
      <c r="B2" s="5"/>
      <c r="C2" s="5"/>
      <c r="D2" s="5"/>
      <c r="E2" s="5"/>
      <c r="F2" s="5"/>
      <c r="G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6" t="s">
        <v>215</v>
      </c>
      <c r="B4" s="6" t="s">
        <v>216</v>
      </c>
      <c r="C4" s="6" t="s">
        <v>217</v>
      </c>
      <c r="D4" s="6" t="s">
        <v>218</v>
      </c>
      <c r="E4" s="6" t="s">
        <v>219</v>
      </c>
      <c r="F4" s="6" t="s">
        <v>220</v>
      </c>
      <c r="G4" s="6" t="s">
        <v>221</v>
      </c>
    </row>
    <row r="5" customFormat="false" ht="15" hidden="false" customHeight="false" outlineLevel="0" collapsed="false">
      <c r="A5" s="16" t="s">
        <v>222</v>
      </c>
      <c r="B5" s="16" t="s">
        <v>223</v>
      </c>
      <c r="C5" s="16" t="s">
        <v>224</v>
      </c>
      <c r="D5" s="10" t="n">
        <v>31.49</v>
      </c>
      <c r="E5" s="16" t="n">
        <v>2640</v>
      </c>
      <c r="F5" s="2" t="str">
        <f aca="false">IF(D5&lt;60,"OUI","non")</f>
        <v>OUI</v>
      </c>
      <c r="G5" s="16" t="s">
        <v>225</v>
      </c>
    </row>
    <row r="6" customFormat="false" ht="15" hidden="false" customHeight="false" outlineLevel="0" collapsed="false">
      <c r="A6" s="16" t="s">
        <v>222</v>
      </c>
      <c r="B6" s="16" t="s">
        <v>223</v>
      </c>
      <c r="C6" s="16" t="s">
        <v>226</v>
      </c>
      <c r="D6" s="10" t="n">
        <v>42.99</v>
      </c>
      <c r="E6" s="16" t="n">
        <v>95</v>
      </c>
      <c r="F6" s="2" t="str">
        <f aca="false">IF(D6&lt;60,"OUI","non")</f>
        <v>OUI</v>
      </c>
      <c r="G6" s="16" t="s">
        <v>225</v>
      </c>
    </row>
    <row r="7" customFormat="false" ht="15" hidden="false" customHeight="false" outlineLevel="0" collapsed="false">
      <c r="A7" s="16" t="s">
        <v>222</v>
      </c>
      <c r="B7" s="16" t="s">
        <v>223</v>
      </c>
      <c r="C7" s="16" t="s">
        <v>227</v>
      </c>
      <c r="D7" s="10" t="n">
        <v>50.99</v>
      </c>
      <c r="E7" s="16" t="n">
        <v>33</v>
      </c>
      <c r="F7" s="2" t="str">
        <f aca="false">IF(D7&lt;60,"OUI","non")</f>
        <v>OUI</v>
      </c>
      <c r="G7" s="16" t="s">
        <v>225</v>
      </c>
    </row>
    <row r="8" customFormat="false" ht="15" hidden="false" customHeight="false" outlineLevel="0" collapsed="false">
      <c r="A8" s="16" t="s">
        <v>222</v>
      </c>
      <c r="B8" s="16" t="s">
        <v>223</v>
      </c>
      <c r="C8" s="16" t="s">
        <v>228</v>
      </c>
      <c r="D8" s="10" t="n">
        <v>57.49</v>
      </c>
      <c r="E8" s="16" t="n">
        <v>410</v>
      </c>
      <c r="F8" s="2" t="str">
        <f aca="false">IF(D8&lt;60,"OUI","non")</f>
        <v>OUI</v>
      </c>
      <c r="G8" s="16" t="s">
        <v>225</v>
      </c>
    </row>
    <row r="9" customFormat="false" ht="15" hidden="false" customHeight="false" outlineLevel="0" collapsed="false">
      <c r="A9" s="16" t="s">
        <v>222</v>
      </c>
      <c r="B9" s="16" t="s">
        <v>223</v>
      </c>
      <c r="C9" s="16" t="s">
        <v>229</v>
      </c>
      <c r="D9" s="10" t="n">
        <v>59.49</v>
      </c>
      <c r="E9" s="16" t="n">
        <v>0</v>
      </c>
      <c r="F9" s="2" t="str">
        <f aca="false">IF(D9&lt;60,"OUI","non")</f>
        <v>OUI</v>
      </c>
      <c r="G9" s="16" t="s">
        <v>225</v>
      </c>
    </row>
    <row r="10" customFormat="false" ht="15" hidden="false" customHeight="false" outlineLevel="0" collapsed="false">
      <c r="A10" s="16" t="s">
        <v>222</v>
      </c>
      <c r="B10" s="16" t="s">
        <v>223</v>
      </c>
      <c r="C10" s="16" t="s">
        <v>230</v>
      </c>
      <c r="D10" s="10" t="n">
        <v>74.49</v>
      </c>
      <c r="E10" s="16" t="n">
        <v>182</v>
      </c>
      <c r="F10" s="2" t="str">
        <f aca="false">IF(D10&lt;60,"OUI","non")</f>
        <v>non</v>
      </c>
      <c r="G10" s="16" t="s">
        <v>225</v>
      </c>
    </row>
    <row r="11" customFormat="false" ht="15" hidden="false" customHeight="false" outlineLevel="0" collapsed="false">
      <c r="A11" s="16" t="s">
        <v>222</v>
      </c>
      <c r="B11" s="16" t="s">
        <v>223</v>
      </c>
      <c r="C11" s="16" t="s">
        <v>231</v>
      </c>
      <c r="D11" s="10" t="n">
        <v>105.99</v>
      </c>
      <c r="E11" s="16" t="n">
        <v>10</v>
      </c>
      <c r="F11" s="2" t="str">
        <f aca="false">IF(D11&lt;60,"OUI","non")</f>
        <v>non</v>
      </c>
      <c r="G11" s="16" t="s">
        <v>225</v>
      </c>
    </row>
    <row r="12" customFormat="false" ht="15" hidden="false" customHeight="false" outlineLevel="0" collapsed="false">
      <c r="A12" s="16" t="s">
        <v>222</v>
      </c>
      <c r="B12" s="16" t="s">
        <v>223</v>
      </c>
      <c r="C12" s="16" t="s">
        <v>232</v>
      </c>
      <c r="D12" s="10" t="n">
        <v>144.99</v>
      </c>
      <c r="E12" s="16" t="n">
        <v>410</v>
      </c>
      <c r="F12" s="2" t="str">
        <f aca="false">IF(D12&lt;60,"OUI","non")</f>
        <v>non</v>
      </c>
      <c r="G12" s="16" t="s">
        <v>225</v>
      </c>
    </row>
    <row r="13" customFormat="false" ht="15" hidden="false" customHeight="false" outlineLevel="0" collapsed="false">
      <c r="A13" s="16" t="s">
        <v>88</v>
      </c>
      <c r="B13" s="16" t="s">
        <v>223</v>
      </c>
      <c r="C13" s="16" t="s">
        <v>233</v>
      </c>
      <c r="D13" s="10" t="n">
        <v>17.19</v>
      </c>
      <c r="E13" s="16" t="n">
        <v>112</v>
      </c>
      <c r="F13" s="2" t="str">
        <f aca="false">IF(D13&lt;60,"OUI","non")</f>
        <v>OUI</v>
      </c>
      <c r="G13" s="16" t="s">
        <v>89</v>
      </c>
    </row>
    <row r="14" customFormat="false" ht="15" hidden="false" customHeight="false" outlineLevel="0" collapsed="false">
      <c r="A14" s="16" t="s">
        <v>88</v>
      </c>
      <c r="B14" s="16" t="s">
        <v>223</v>
      </c>
      <c r="C14" s="16" t="s">
        <v>234</v>
      </c>
      <c r="D14" s="10" t="n">
        <v>34.49</v>
      </c>
      <c r="E14" s="16" t="n">
        <v>79</v>
      </c>
      <c r="F14" s="2" t="str">
        <f aca="false">IF(D14&lt;60,"OUI","non")</f>
        <v>OUI</v>
      </c>
      <c r="G14" s="16" t="s">
        <v>89</v>
      </c>
    </row>
    <row r="15" customFormat="false" ht="15" hidden="false" customHeight="false" outlineLevel="0" collapsed="false">
      <c r="A15" s="16" t="s">
        <v>88</v>
      </c>
      <c r="B15" s="16" t="s">
        <v>223</v>
      </c>
      <c r="C15" s="16" t="s">
        <v>235</v>
      </c>
      <c r="D15" s="10" t="n">
        <v>52.99</v>
      </c>
      <c r="E15" s="16" t="n">
        <v>28</v>
      </c>
      <c r="F15" s="2" t="str">
        <f aca="false">IF(D15&lt;60,"OUI","non")</f>
        <v>OUI</v>
      </c>
      <c r="G15" s="16" t="s">
        <v>89</v>
      </c>
    </row>
    <row r="16" customFormat="false" ht="15" hidden="false" customHeight="false" outlineLevel="0" collapsed="false">
      <c r="A16" s="16" t="s">
        <v>88</v>
      </c>
      <c r="B16" s="16" t="s">
        <v>223</v>
      </c>
      <c r="C16" s="16" t="s">
        <v>236</v>
      </c>
      <c r="D16" s="10" t="n">
        <v>60.99</v>
      </c>
      <c r="E16" s="16" t="n">
        <v>1</v>
      </c>
      <c r="F16" s="2" t="str">
        <f aca="false">IF(D16&lt;60,"OUI","non")</f>
        <v>non</v>
      </c>
      <c r="G16" s="16" t="s">
        <v>89</v>
      </c>
    </row>
    <row r="17" customFormat="false" ht="15" hidden="false" customHeight="false" outlineLevel="0" collapsed="false">
      <c r="A17" s="16" t="s">
        <v>88</v>
      </c>
      <c r="B17" s="16" t="s">
        <v>223</v>
      </c>
      <c r="C17" s="16" t="s">
        <v>237</v>
      </c>
      <c r="D17" s="10" t="n">
        <v>136.99</v>
      </c>
      <c r="E17" s="16" t="n">
        <v>0</v>
      </c>
      <c r="F17" s="2" t="str">
        <f aca="false">IF(D17&lt;60,"OUI","non")</f>
        <v>non</v>
      </c>
      <c r="G17" s="16" t="s">
        <v>89</v>
      </c>
    </row>
    <row r="18" customFormat="false" ht="15" hidden="false" customHeight="false" outlineLevel="0" collapsed="false">
      <c r="A18" s="16" t="s">
        <v>113</v>
      </c>
      <c r="B18" s="16" t="s">
        <v>238</v>
      </c>
      <c r="C18" s="16" t="s">
        <v>239</v>
      </c>
      <c r="D18" s="10" t="n">
        <v>49.9</v>
      </c>
      <c r="E18" s="16" t="n">
        <v>0</v>
      </c>
      <c r="F18" s="2" t="str">
        <f aca="false">IF(D18&lt;60,"OUI","non")</f>
        <v>OUI</v>
      </c>
      <c r="G18" s="16" t="s">
        <v>114</v>
      </c>
    </row>
    <row r="19" customFormat="false" ht="15" hidden="false" customHeight="false" outlineLevel="0" collapsed="false">
      <c r="A19" s="16" t="s">
        <v>113</v>
      </c>
      <c r="B19" s="16" t="s">
        <v>238</v>
      </c>
      <c r="C19" s="16" t="s">
        <v>240</v>
      </c>
      <c r="D19" s="10" t="n">
        <v>72.9</v>
      </c>
      <c r="E19" s="16" t="n">
        <v>0</v>
      </c>
      <c r="F19" s="2" t="str">
        <f aca="false">IF(D19&lt;60,"OUI","non")</f>
        <v>non</v>
      </c>
      <c r="G19" s="16" t="s">
        <v>114</v>
      </c>
    </row>
    <row r="20" customFormat="false" ht="15" hidden="false" customHeight="false" outlineLevel="0" collapsed="false">
      <c r="A20" s="16" t="s">
        <v>113</v>
      </c>
      <c r="B20" s="16" t="s">
        <v>238</v>
      </c>
      <c r="C20" s="16" t="s">
        <v>241</v>
      </c>
      <c r="D20" s="10" t="n">
        <v>83.99</v>
      </c>
      <c r="E20" s="16" t="n">
        <v>1</v>
      </c>
      <c r="F20" s="2" t="str">
        <f aca="false">IF(D20&lt;60,"OUI","non")</f>
        <v>non</v>
      </c>
      <c r="G20" s="16" t="s">
        <v>114</v>
      </c>
    </row>
    <row r="21" customFormat="false" ht="15" hidden="false" customHeight="false" outlineLevel="0" collapsed="false">
      <c r="A21" s="16" t="s">
        <v>113</v>
      </c>
      <c r="B21" s="16" t="s">
        <v>223</v>
      </c>
      <c r="C21" s="16" t="s">
        <v>242</v>
      </c>
      <c r="D21" s="10" t="n">
        <v>121.99</v>
      </c>
      <c r="E21" s="16" t="n">
        <v>2514</v>
      </c>
      <c r="F21" s="2" t="str">
        <f aca="false">IF(D21&lt;60,"OUI","non")</f>
        <v>non</v>
      </c>
      <c r="G21" s="16" t="s">
        <v>114</v>
      </c>
    </row>
  </sheetData>
  <conditionalFormatting sqref="F5:F21">
    <cfRule type="cellIs" priority="2" operator="equal" aboveAverage="0" equalAverage="0" bottom="0" percent="0" rank="0" text="" dxfId="0">
      <formula>"OUI"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95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243</v>
      </c>
      <c r="B1" s="5"/>
      <c r="C1" s="5"/>
    </row>
    <row r="2" customFormat="false" ht="15" hidden="false" customHeight="false" outlineLevel="0" collapsed="false">
      <c r="A2" s="5"/>
      <c r="B2" s="5"/>
      <c r="C2" s="5"/>
    </row>
    <row r="3" customFormat="false" ht="15" hidden="false" customHeight="false" outlineLevel="0" collapsed="false">
      <c r="A3" s="6" t="s">
        <v>244</v>
      </c>
      <c r="B3" s="6" t="s">
        <v>245</v>
      </c>
      <c r="C3" s="6" t="s">
        <v>246</v>
      </c>
    </row>
    <row r="4" customFormat="false" ht="15" hidden="false" customHeight="false" outlineLevel="0" collapsed="false">
      <c r="A4" s="2" t="s">
        <v>247</v>
      </c>
      <c r="B4" s="2" t="s">
        <v>248</v>
      </c>
      <c r="C4" s="2" t="s">
        <v>249</v>
      </c>
    </row>
    <row r="5" customFormat="false" ht="15" hidden="false" customHeight="false" outlineLevel="0" collapsed="false">
      <c r="A5" s="2" t="s">
        <v>250</v>
      </c>
      <c r="B5" s="2" t="s">
        <v>251</v>
      </c>
      <c r="C5" s="2" t="s">
        <v>252</v>
      </c>
    </row>
    <row r="6" customFormat="false" ht="15" hidden="false" customHeight="false" outlineLevel="0" collapsed="false">
      <c r="A6" s="2" t="s">
        <v>253</v>
      </c>
      <c r="B6" s="2" t="s">
        <v>254</v>
      </c>
      <c r="C6" s="2" t="s">
        <v>255</v>
      </c>
    </row>
    <row r="7" customFormat="false" ht="15" hidden="false" customHeight="false" outlineLevel="0" collapsed="false">
      <c r="A7" s="2" t="s">
        <v>256</v>
      </c>
      <c r="B7" s="2" t="s">
        <v>257</v>
      </c>
      <c r="C7" s="2" t="s">
        <v>258</v>
      </c>
    </row>
    <row r="8" customFormat="false" ht="15" hidden="false" customHeight="false" outlineLevel="0" collapsed="false">
      <c r="A8" s="2" t="s">
        <v>259</v>
      </c>
      <c r="B8" s="2" t="s">
        <v>260</v>
      </c>
      <c r="C8" s="2" t="s">
        <v>261</v>
      </c>
    </row>
    <row r="9" customFormat="false" ht="15" hidden="false" customHeight="false" outlineLevel="0" collapsed="false">
      <c r="A9" s="2" t="s">
        <v>262</v>
      </c>
      <c r="B9" s="2" t="s">
        <v>263</v>
      </c>
      <c r="C9" s="2" t="s">
        <v>264</v>
      </c>
    </row>
    <row r="10" customFormat="false" ht="15" hidden="false" customHeight="false" outlineLevel="0" collapsed="false">
      <c r="A10" s="2" t="s">
        <v>265</v>
      </c>
      <c r="B10" s="2" t="s">
        <v>266</v>
      </c>
      <c r="C10" s="2" t="s">
        <v>267</v>
      </c>
    </row>
    <row r="11" customFormat="false" ht="15" hidden="false" customHeight="false" outlineLevel="0" collapsed="false">
      <c r="A11" s="2" t="s">
        <v>268</v>
      </c>
      <c r="B11" s="2" t="s">
        <v>269</v>
      </c>
      <c r="C11" s="2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2026-10-12T11:03:09Z</dcterms:created>
  <dc:creator>openpyxl</dc:creator>
  <dc:description/>
  <dc:language>en-US</dc:language>
  <cp:lastModifiedBy/>
  <dcterms:modified xsi:type="dcterms:W3CDTF">2026-10-12T11:03:09Z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